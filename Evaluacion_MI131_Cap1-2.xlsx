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yenda" sheetId="1" state="visible" r:id="rId3"/>
    <sheet name="Rúbrica" sheetId="2" state="visible" r:id="rId4"/>
    <sheet name="Calificación" sheetId="3" state="visible" r:id="rId5"/>
    <sheet name="Análisis cuantitativo" sheetId="4" state="visible" r:id="rId6"/>
    <sheet name="Análisis cualitativo" sheetId="5" state="visible" r:id="rId7"/>
    <sheet name="Errores APA y redacción" sheetId="6" state="visible" r:id="rId8"/>
    <sheet name="Coherencia interna" sheetId="7" state="visible" r:id="rId9"/>
    <sheet name="Resumen por grupo" sheetId="8" state="visible" r:id="rId10"/>
    <sheet name="Declaración de IA" sheetId="9" state="visible" r:id="rId11"/>
  </sheets>
  <definedNames>
    <definedName function="false" hidden="true" localSheetId="4" name="_xlnm._FilterDatabase" vbProcedure="false">'Análisis cualitativo'!$A$4:$E$92</definedName>
    <definedName function="false" hidden="true" localSheetId="5" name="_xlnm._FilterDatabase" vbProcedure="false">'Errores APA y redacción'!$A$25:$H$129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<sst xmlns="http://schemas.openxmlformats.org/spreadsheetml/2006/main" count="1792" uniqueCount="715">
  <si>
    <t xml:space="preserve">Evaluación de trabajos de grado – Capítulos 1 y 2</t>
  </si>
  <si>
    <t xml:space="preserve">MI131 Metodología de Investigación · Administración Deportiva · Universidad Distrital · Segundo corte (carpeta 19 07102026) · Evaluación realizada el 19/10/2026</t>
  </si>
  <si>
    <t xml:space="preserve">Propósito</t>
  </si>
  <si>
    <t xml:space="preserve">Evaluar los 11 documentos (G1 – G11) en los ítems: descripción del problema, pregunta problema, objetivo general, objetivos específicos, justificación, antecedentes y marco teórico (capítulo 2), más redacción y normas APA 7.ª edición como criterio transversal. Se entregan análisis cuantitativo y cualitativo, con los errores de elaboración por ítem.</t>
  </si>
  <si>
    <t xml:space="preserve">Cómo se calcula</t>
  </si>
  <si>
    <t xml:space="preserve">Cada uno de los 31 indicadores se codifica 0 (no cumple), 1 (cumple parcialmente) o 2 (cumple). Nota del ítem = Σ(peso del indicador × código / 2) × 5. Nota total = Σ(peso del ítem × nota del ítem). Los pesos y parámetros están en la hoja Rúbrica; al modificarlos, todas las hojas se recalculan.</t>
  </si>
  <si>
    <t xml:space="preserve">Escala y niveles</t>
  </si>
  <si>
    <t xml:space="preserve">Escala 0 – 5. Umbral de logro y puntos de corte de los niveles (Alto, Satisfactorio, En desarrollo, Insuficiente) en la hoja Rúbrica, celdas D5 – D8.</t>
  </si>
  <si>
    <t xml:space="preserve">Código de colores</t>
  </si>
  <si>
    <t xml:space="preserve">Azul sobre fondo amarillo: dato de entrada o juicio del evaluador (editable). Negro: fórmula. Verde: enlace a otra hoja. Rojo / amarillo / verde en celdas: condiciones por debajo del umbral, intermedias o logradas.</t>
  </si>
  <si>
    <t xml:space="preserve">Orden de las hojas</t>
  </si>
  <si>
    <t xml:space="preserve">Leyenda · Rúbrica · Calificación (31 indicadores × 11 grupos) · Análisis cuantitativo · Análisis cualitativo (88 celdas grupo × ítem) · Errores APA y redacción · Coherencia interna · Resumen por grupo · Declaración de IA.</t>
  </si>
  <si>
    <t xml:space="preserve">Supuestos</t>
  </si>
  <si>
    <t xml:space="preserve">Se evaluó únicamente el texto entregado en cada archivo .docx. No se evaluó la metodología del capítulo 3 ni los instrumentos, salvo cuando el capítulo 2 o los objetivos remiten a ellos para comprobar la coherencia. Los pesos de la rúbrica son una propuesta del evaluador y pueden ajustarse a la rúbrica oficial del curso.</t>
  </si>
  <si>
    <t xml:space="preserve">Límites de la verificación</t>
  </si>
  <si>
    <t xml:space="preserve">La correspondencia entre citas y referencias se revisó con un script y lectura manual. Solo se consultaron en línea las referencias señaladas en la hoja Declaración de IA; las demás no se contrastaron con la fuente original. No se utilizó software de similitud: las observaciones de originalidad son indicios por revisar con la herramienta institucional.</t>
  </si>
  <si>
    <t xml:space="preserve">Uso de las notas</t>
  </si>
  <si>
    <t xml:space="preserve">Las notas son una propuesta de calificación sujeta a validación del profesor. Los comentarios son aptos para devolverlos a los estudiantes: están redactados en términos verificables, con ubicación y ejemplo del error.</t>
  </si>
  <si>
    <t xml:space="preserve">Resultados clave</t>
  </si>
  <si>
    <t xml:space="preserve">Grupos evaluados</t>
  </si>
  <si>
    <t xml:space="preserve">Nota media del curso (0 – 5)</t>
  </si>
  <si>
    <t xml:space="preserve">Grupos que alcanzan el umbral</t>
  </si>
  <si>
    <t xml:space="preserve">Mayor nota (grupo)</t>
  </si>
  <si>
    <t xml:space="preserve">Menor nota (grupo)</t>
  </si>
  <si>
    <t xml:space="preserve">Hallazgos APA / redacción registrados</t>
  </si>
  <si>
    <t xml:space="preserve">Controles de la hoja de cálculo</t>
  </si>
  <si>
    <t xml:space="preserve">Rúbrica de evaluación – Capítulos 1 y 2 de la monografía</t>
  </si>
  <si>
    <t xml:space="preserve">Escala de cada indicador: 0 = ausente o con error grave; 1 = cumple parcialmente; 2 = cumple. Los pesos (azul) son parámetros editables.</t>
  </si>
  <si>
    <t xml:space="preserve">Parámetros</t>
  </si>
  <si>
    <t xml:space="preserve">Escala máxima de nota</t>
  </si>
  <si>
    <t xml:space="preserve">Umbral de logro (nota mínima)</t>
  </si>
  <si>
    <t xml:space="preserve">Nivel «Alto» desde</t>
  </si>
  <si>
    <t xml:space="preserve">Nivel «En desarrollo» desde</t>
  </si>
  <si>
    <t xml:space="preserve">Código</t>
  </si>
  <si>
    <t xml:space="preserve">Ítem evaluado</t>
  </si>
  <si>
    <t xml:space="preserve">Peso del ítem</t>
  </si>
  <si>
    <t xml:space="preserve">P</t>
  </si>
  <si>
    <t xml:space="preserve">Descripción del problema</t>
  </si>
  <si>
    <t xml:space="preserve">Q</t>
  </si>
  <si>
    <t xml:space="preserve">Pregunta problema</t>
  </si>
  <si>
    <t xml:space="preserve">OG</t>
  </si>
  <si>
    <t xml:space="preserve">Objetivo general</t>
  </si>
  <si>
    <t xml:space="preserve">OE</t>
  </si>
  <si>
    <t xml:space="preserve">Objetivos específicos</t>
  </si>
  <si>
    <t xml:space="preserve">J</t>
  </si>
  <si>
    <t xml:space="preserve">Justificación</t>
  </si>
  <si>
    <t xml:space="preserve">A</t>
  </si>
  <si>
    <t xml:space="preserve">Antecedentes (Capítulo 2)</t>
  </si>
  <si>
    <t xml:space="preserve">M</t>
  </si>
  <si>
    <t xml:space="preserve">Marco teórico y conceptual (Capítulo 2)</t>
  </si>
  <si>
    <t xml:space="preserve">T</t>
  </si>
  <si>
    <t xml:space="preserve">APA 7 y redacción (transversal)</t>
  </si>
  <si>
    <t xml:space="preserve">Suma de pesos (debe ser 100 %)</t>
  </si>
  <si>
    <t xml:space="preserve">Indicadores</t>
  </si>
  <si>
    <t xml:space="preserve">Ítem</t>
  </si>
  <si>
    <t xml:space="preserve">Indicador (criterio de cumplimiento pleno = 2)</t>
  </si>
  <si>
    <t xml:space="preserve">Peso en el ítem</t>
  </si>
  <si>
    <t xml:space="preserve">Peso global</t>
  </si>
  <si>
    <t xml:space="preserve">Suma de pesos del ítem</t>
  </si>
  <si>
    <t xml:space="preserve">Verificación</t>
  </si>
  <si>
    <t xml:space="preserve">P1</t>
  </si>
  <si>
    <t xml:space="preserve">Contextualiza el problema en los niveles internacional, nacional y local con fuentes verificables</t>
  </si>
  <si>
    <t xml:space="preserve">P2</t>
  </si>
  <si>
    <t xml:space="preserve">Presenta la magnitud con datos cuantitativos verificables y atribuidos correctamente a la fuente</t>
  </si>
  <si>
    <t xml:space="preserve">P3</t>
  </si>
  <si>
    <t xml:space="preserve">Describe causas y consecuencias, con sustento, y quiénes resultan afectados</t>
  </si>
  <si>
    <t xml:space="preserve">P4</t>
  </si>
  <si>
    <t xml:space="preserve">Delimita el vacío o la brecha de conocimiento que origina el estudio</t>
  </si>
  <si>
    <t xml:space="preserve">P5</t>
  </si>
  <si>
    <t xml:space="preserve">Redacción: claridad, registro académico, coherencia y ausencia de redundancias</t>
  </si>
  <si>
    <t xml:space="preserve">Q1</t>
  </si>
  <si>
    <t xml:space="preserve">Se formula como interrogante único, claro y abierto, sin respuesta sí/no ni valorativa</t>
  </si>
  <si>
    <t xml:space="preserve">Q2</t>
  </si>
  <si>
    <t xml:space="preserve">Delimita objeto, población, lugar y tiempo</t>
  </si>
  <si>
    <t xml:space="preserve">Q3</t>
  </si>
  <si>
    <t xml:space="preserve">Es coherente con el problema planteado (responde al vacío enunciado)</t>
  </si>
  <si>
    <t xml:space="preserve">Q4</t>
  </si>
  <si>
    <t xml:space="preserve">Es investigable y viable con los recursos y datos disponibles</t>
  </si>
  <si>
    <t xml:space="preserve">G1</t>
  </si>
  <si>
    <t xml:space="preserve">Verbo en infinitivo, medible, un solo propósito, sin incluir método</t>
  </si>
  <si>
    <t xml:space="preserve">G2</t>
  </si>
  <si>
    <t xml:space="preserve">Responde a la pregunta problema (misma población, variables y alcance)</t>
  </si>
  <si>
    <t xml:space="preserve">G3</t>
  </si>
  <si>
    <t xml:space="preserve">Incluye la delimitación (población, contexto, periodo)</t>
  </si>
  <si>
    <t xml:space="preserve">E1</t>
  </si>
  <si>
    <t xml:space="preserve">Verbos en infinitivo y medibles; un resultado de conocimiento por objetivo (no pasos del procedimiento)</t>
  </si>
  <si>
    <t xml:space="preserve">E2</t>
  </si>
  <si>
    <t xml:space="preserve">Derivan del objetivo general y lo cubren sin exceder su alcance</t>
  </si>
  <si>
    <t xml:space="preserve">E3</t>
  </si>
  <si>
    <t xml:space="preserve">Secuencia lógica y alcance viable para una monografía</t>
  </si>
  <si>
    <t xml:space="preserve">J1</t>
  </si>
  <si>
    <t xml:space="preserve">Justificación académica o teórica vinculada con el vacío de conocimiento</t>
  </si>
  <si>
    <t xml:space="preserve">J2</t>
  </si>
  <si>
    <t xml:space="preserve">Justificación social y práctica para la gestión deportiva, con destinatarios identificados</t>
  </si>
  <si>
    <t xml:space="preserve">J3</t>
  </si>
  <si>
    <t xml:space="preserve">Pertinencia y viabilidad del estudio (acceso, tiempo, recursos)</t>
  </si>
  <si>
    <t xml:space="preserve">J4</t>
  </si>
  <si>
    <t xml:space="preserve">Sustento con fuentes y redacción sin afirmaciones no respaldadas</t>
  </si>
  <si>
    <t xml:space="preserve">A1</t>
  </si>
  <si>
    <t xml:space="preserve">Pertinencia, actualidad y calidad de las fuentes</t>
  </si>
  <si>
    <t xml:space="preserve">A2</t>
  </si>
  <si>
    <t xml:space="preserve">Estructura de la reseña: objetivo, método, resultados y aporte al estudio</t>
  </si>
  <si>
    <t xml:space="preserve">A3</t>
  </si>
  <si>
    <t xml:space="preserve">Síntesis crítica de los antecedentes y brecha formulada</t>
  </si>
  <si>
    <t xml:space="preserve">A4</t>
  </si>
  <si>
    <t xml:space="preserve">Cobertura de niveles (internacional, nacional y local)</t>
  </si>
  <si>
    <t xml:space="preserve">M1</t>
  </si>
  <si>
    <t xml:space="preserve">Desarrolla las categorías o variables del problema con definiciones</t>
  </si>
  <si>
    <t xml:space="preserve">M2</t>
  </si>
  <si>
    <t xml:space="preserve">Autores y fuentes de base pertinentes (primarias, no solo secundarias)</t>
  </si>
  <si>
    <t xml:space="preserve">M3</t>
  </si>
  <si>
    <t xml:space="preserve">Articulación del marco con la pregunta, los objetivos y el diseño</t>
  </si>
  <si>
    <t xml:space="preserve">M4</t>
  </si>
  <si>
    <t xml:space="preserve">Paráfrasis, redacción y cohesión; sin fragmentos sin fuente</t>
  </si>
  <si>
    <t xml:space="preserve">T1</t>
  </si>
  <si>
    <t xml:space="preserve">Citas en texto con formato APA 7 (narrativas y parentéticas, et al., secundarias)</t>
  </si>
  <si>
    <t xml:space="preserve">T2</t>
  </si>
  <si>
    <t xml:space="preserve">Correspondencia entre citas y lista de referencias (sin huérfanas ni faltantes)</t>
  </si>
  <si>
    <t xml:space="preserve">T3</t>
  </si>
  <si>
    <t xml:space="preserve">Lista de referencias en formato APA 7 (autor, orden, DOI/URL, sin duplicados)</t>
  </si>
  <si>
    <t xml:space="preserve">T4</t>
  </si>
  <si>
    <t xml:space="preserve">Ortografía, estilo, plantilla institucional y declaración de uso de IA</t>
  </si>
  <si>
    <t xml:space="preserve">Suma de pesos globales (debe ser 100 %)</t>
  </si>
  <si>
    <t xml:space="preserve">Calificación por indicador (0 – 1 – 2) y nota por ítem</t>
  </si>
  <si>
    <t xml:space="preserve">Celdas azules = códigos asignados por el evaluador. Las notas por ítem y la nota total se calculan con fórmulas a partir de los pesos de la hoja Rúbrica.</t>
  </si>
  <si>
    <t xml:space="preserve">Indicador</t>
  </si>
  <si>
    <t xml:space="preserve">G4</t>
  </si>
  <si>
    <t xml:space="preserve">G5</t>
  </si>
  <si>
    <t xml:space="preserve">G6</t>
  </si>
  <si>
    <t xml:space="preserve">G7</t>
  </si>
  <si>
    <t xml:space="preserve">G8</t>
  </si>
  <si>
    <t xml:space="preserve">G9</t>
  </si>
  <si>
    <t xml:space="preserve">G10</t>
  </si>
  <si>
    <t xml:space="preserve">G11</t>
  </si>
  <si>
    <t xml:space="preserve">Nota por ítem (0 – 5)</t>
  </si>
  <si>
    <t xml:space="preserve">Nombre</t>
  </si>
  <si>
    <t xml:space="preserve">Total</t>
  </si>
  <si>
    <t xml:space="preserve">Nota total (0 – 5)</t>
  </si>
  <si>
    <t xml:space="preserve">Nivel de desempeño</t>
  </si>
  <si>
    <t xml:space="preserve">¿Alcanza el umbral de logro?</t>
  </si>
  <si>
    <t xml:space="preserve">Indicadores con código 0 (de 31)</t>
  </si>
  <si>
    <t xml:space="preserve">Indicadores con código 2 (de 31)</t>
  </si>
  <si>
    <t xml:space="preserve">Análisis cuantitativo</t>
  </si>
  <si>
    <t xml:space="preserve">Todas las cifras se calculan con fórmulas a partir de la hoja Calificación. Escala 0 – 5; el umbral de logro es el definido en la hoja Rúbrica.</t>
  </si>
  <si>
    <t xml:space="preserve">A. Notas por ítem y total por grupo</t>
  </si>
  <si>
    <t xml:space="preserve">Grupo</t>
  </si>
  <si>
    <t xml:space="preserve">Tema</t>
  </si>
  <si>
    <t xml:space="preserve">Posición</t>
  </si>
  <si>
    <t xml:space="preserve">Nivel</t>
  </si>
  <si>
    <t xml:space="preserve">¿Alcanza umbral?</t>
  </si>
  <si>
    <t xml:space="preserve">Percepción de género en periodismo deportivo</t>
  </si>
  <si>
    <t xml:space="preserve">Administración deportiva en escuelas de fútbol</t>
  </si>
  <si>
    <t xml:space="preserve">Marketing deportivo y sostenibilidad (Patio Bonito)</t>
  </si>
  <si>
    <t xml:space="preserve">Barreras logísticas en torneo de microfútbol</t>
  </si>
  <si>
    <t xml:space="preserve">Marketing deportivo y fútbol femenino (visibilidad)</t>
  </si>
  <si>
    <t xml:space="preserve">Calidad del servicio del gimnasio e intención de continuar</t>
  </si>
  <si>
    <t xml:space="preserve">Desigualdad de género en la trayectoria académica</t>
  </si>
  <si>
    <t xml:space="preserve">Economía del baloncesto femenino profesional</t>
  </si>
  <si>
    <t xml:space="preserve">Herramientas tecnológicas de análisis táctico</t>
  </si>
  <si>
    <t xml:space="preserve">Realidad virtual y competencias profesionales</t>
  </si>
  <si>
    <t xml:space="preserve">Instagram, frecuencia, formato y engagement</t>
  </si>
  <si>
    <t xml:space="preserve">B. Estadística descriptiva por ítem (n = 11 grupos)</t>
  </si>
  <si>
    <t xml:space="preserve">Peso</t>
  </si>
  <si>
    <t xml:space="preserve">Media</t>
  </si>
  <si>
    <t xml:space="preserve">Mediana</t>
  </si>
  <si>
    <t xml:space="preserve">Mínimo</t>
  </si>
  <si>
    <t xml:space="preserve">Máximo</t>
  </si>
  <si>
    <t xml:space="preserve">Desv. estándar</t>
  </si>
  <si>
    <t xml:space="preserve">Grupos ≥ umbral</t>
  </si>
  <si>
    <t xml:space="preserve">% de grupos ≥ umbral</t>
  </si>
  <si>
    <t xml:space="preserve">Mayor nota</t>
  </si>
  <si>
    <t xml:space="preserve">Menor nota</t>
  </si>
  <si>
    <t xml:space="preserve">Nota total</t>
  </si>
  <si>
    <t xml:space="preserve">C. Cumplimiento por indicador (n = 11 grupos)</t>
  </si>
  <si>
    <t xml:space="preserve">Grupos con 2</t>
  </si>
  <si>
    <t xml:space="preserve">Grupos con 1</t>
  </si>
  <si>
    <t xml:space="preserve">Grupos con 0</t>
  </si>
  <si>
    <t xml:space="preserve">% con cumplimiento pleno</t>
  </si>
  <si>
    <t xml:space="preserve">% con código 0</t>
  </si>
  <si>
    <t xml:space="preserve">Media (0 – 2)</t>
  </si>
  <si>
    <t xml:space="preserve">Prioridad de mejora</t>
  </si>
  <si>
    <t xml:space="preserve">D. Distribución por nivel de desempeño</t>
  </si>
  <si>
    <t xml:space="preserve">Criterio</t>
  </si>
  <si>
    <t xml:space="preserve">Grupos</t>
  </si>
  <si>
    <t xml:space="preserve">%</t>
  </si>
  <si>
    <t xml:space="preserve">Alto</t>
  </si>
  <si>
    <t xml:space="preserve">Satisfactorio</t>
  </si>
  <si>
    <t xml:space="preserve">En desarrollo</t>
  </si>
  <si>
    <t xml:space="preserve">Insuficiente</t>
  </si>
  <si>
    <t xml:space="preserve">Análisis cualitativo por grupo e ítem</t>
  </si>
  <si>
    <t xml:space="preserve">Errores de elaboración identificados, con ejemplos tomados de los documentos. La nota de cada ítem se enlaza con la hoja Calificación.</t>
  </si>
  <si>
    <t xml:space="preserve">Nota del ítem (0 – 5)</t>
  </si>
  <si>
    <t xml:space="preserve">Condición</t>
  </si>
  <si>
    <t xml:space="preserve">Hallazgos y errores de elaboración (con ejemplos)</t>
  </si>
  <si>
    <t xml:space="preserve">Contextualiza con un dato internacional (Boczek et al., 2023: 91,7 % de artículos firmados por hombres) y un antecedente nacional cualitativo (Zapata Correa et al., 2026), pero no aporta cifras colombianas ni locales (Bogotá). No se describen causas ni consecuencias de la desigualdad en el periodismo deportivo, y el vacío se enuncia como desconocimiento de la percepción de una población, no como carencia frente a la literatura. La redacción repite tres veces la salvedad «sin asumir previamente que existe una situación de desigualdad», y el planteamiento se duplica entre la Introducción y la Descripción del problema. El dato de Boczek se reporta como 8,2 % en el problema y como «8,1 %» en antecedentes.</t>
  </si>
  <si>
    <t xml:space="preserve">Formulada como interrogante abierta y con población y periodo (segundo periodo de 2026), pero extensa y con una incisa entre guiones. Integra dos objetos: la percepción de estudiantes y la gestión de comunicaciones institucionales de clubes («como referente para…»), lo que impide delimitar la unidad de análisis. La frase que la antecede («se plantea la siguiente pregunta de investigación») carece de dos puntos.</t>
  </si>
  <si>
    <t xml:space="preserve">Verbo en infinitivo, pero «analizar la relación entre» sugiere un propósito relacional que la metodología (descriptivo-interpretativa, cualitativa) no contempla. Contiene error de redacción («relación de entre»). No responde a la pregunta: sustituye la población (estudiantes) por documentos (publicaciones y noticias). Sin delimitación temporal ni de unidades (cuántos clubes, qué medios).</t>
  </si>
  <si>
    <t xml:space="preserve">Los verbos (identificar, analizar, comparar) son pertinentes y secuenciales, aunque el tercero añade «con el propósito de reconocer posibles relaciones», lo que introduce un segundo propósito. Ninguno aborda las oportunidades profesionales, la visibilidad y la participación que la pregunta menciona. «genero» sin tilde.</t>
  </si>
  <si>
    <t xml:space="preserve">Se articula en cuatro párrafos (social, académico, profesional, delimitación) y reconoce la limitación de no generalizar. Se sustenta únicamente en dos fuentes (Boczek et al., 2023; Zapata Correa et al., 2026) que se repiten del problema. No explicita la contribución a la gestión deportiva (comunicación de clubes), no hay viabilidad (acceso a la población, tiempo, recursos) y la justificación no corresponde al objeto del objetivo general.</t>
  </si>
  <si>
    <t xml:space="preserve">Seis estudios reseñados con estructura reconocible (objetivo, método, resultado, pertinencia) y revistas indexadas; 2016 a 2026. Faltan: encabezado y nexo en Boczek et al. (2023), cierre de síntesis, identificación del vacío y antecedentes locales o sobre estudiantes de formación deportiva (Ramon Vegas et al., 2019 está en referencias pero no se usa). Coronel Puello (2024) no figura en la lista de referencias. Afirmaciones sobredimensionadas: un estudio cualitativo con siete periodistas «demuestra la existencia de desigualdades».</t>
  </si>
  <si>
    <t xml:space="preserve">Presenta representaciones sociales, framing y perspectiva de género; las fuentes primarias (Moscovici, 1988; Antunovic y Whiteside, 2018) existen, pero Entman (1993) y Jodelet (2008) no están en las referencias y Calvo Ortega y Gutiérrez San Miguel aparece como 2017 en el texto frente a 2016 en la lista. La sección se titula «Marco conceptual» pero desarrolla teorías. No se define igualdad de género, comunicación institucional ni visibilidad, que son las categorías del instrumento. La teoría de base corresponde a la percepción de estudiantes, no al análisis de contenido.</t>
  </si>
  <si>
    <t xml:space="preserve">Referencias: 14 entradas, 8 sin cita en el texto (Bruce, 2016; Calvo-Ortega, 2020; Gómez-Colell et al., 2017; Olabe Sánchez, 2010 y 2012; Ramon Vegas et al., 2019; Sainz de Baranda Andújar, 2014a y 2014b) y 4 citas sin referencia (Coronel Puello, 2024; Entman, 1993; Jodelet, 2008; Calvo Ortega y Gutiérrez San Miguel, 2017). Cita narrativa con cuatro autores sin «et al.» (Zapata Correa, Durán-Palacio, Rodríguez Gómez y Restrepo Echavarría, 2026). Persisten textos de plantilla en el cuerpo (Dedicatoria (opcional), instrucciones del Resumen, «Figura 1 Título en cursiva», «Indicar la mejor opción…»).</t>
  </si>
  <si>
    <t xml:space="preserve">Estructura por niveles internacional, nacional y local, con datos verificables (Sarmiento Espiau et al., 2025: n = 125; Barahona Vinasco et al., 2023: 103 ligas y clubes; 26,86 % y 41,75 %), síntesis y vacío explícito («hasta donde permitió establecer la búsqueda realizada»). Debilidades: las cifras provienen de Caldas y de Antioquia (2010), no de Bogotá; la deserción de deportistas y la ineficiencia en recursos se afirman en la Introducción sin fuente; la escuela Elizalde FC aparece sin justificar por qué es el caso de estudio. Los párrafos de nivel internacional y nacional se reproducen casi literalmente en Antecedentes. La Introducción tiene fallas graves de redacción («manejas unas de las principales ofertas», «vacíos internacionales», «se en cargan», «En conclusión» al inicio del documento).</t>
  </si>
  <si>
    <t xml:space="preserve">Delimita sujeto, lugar (Kennedy, Bogotá) y periodo (2026-2). Sin embargo, «¿Cómo fortalecer la gestión…?» es una pregunta de intervención, no de investigación descriptiva; «fortalecer» no tiene criterio de medición y el problema describe ausencia de delimitación de funciones, no una deficiencia de gestión demostrada en la escuela.</t>
  </si>
  <si>
    <t xml:space="preserve">Verbo «diseñar», un solo propósito y delimitación completa (escuela, localidad, periodo). Corresponde a la pregunta, pero no al problema ni a la Introducción («analizar y definir las funciones»). El «modelo de gestión estratégica» no se define en el marco teórico.</t>
  </si>
  <si>
    <t xml:space="preserve">El OE1 acumula cinco objetos en una sola enunciación («conocimientos, funciones, fortalezas, limitaciones y procesos»). El OE2 supone un «diagnóstico realizado», que sería el resultado del OE1. El OE3 (evaluar la aplicación de la estrategia) requiere implementar la estrategia y medir resultados, lo que no es viable dentro del periodo 2026-2 ni está en el objetivo general. Los tres repiten la cláusula de contexto completa, lo que alarga innecesariamente la redacción.</t>
  </si>
  <si>
    <t xml:space="preserve">Presenta tres dimensiones (académica, profesional, social) y vincula con el problema. No contiene ninguna cita: afirmaciones como «una estructura administrativa formal es clave para optimizar la toma de decisiones» y «las deficiencias en la gestión pueden provocar la deserción» carecen de sustento y se redactan como hechos. El verbo «demuestra» no corresponde a un estudio descriptivo. No se plantea viabilidad ni el aporte específico a Elizalde FC o al programa de Administración Deportiva. El uso de «Mientras que» es inadecuado como conector.</t>
  </si>
  <si>
    <t xml:space="preserve">Organizados por ámbitos, con síntesis y brecha explícitas (único trabajo del grupo con este cierre). Cobertura internacional (España 2025; Cuba 2024), nacional (Caldas 2023; Antioquia 2010) y distrital (Pedreros, 2016). Fuentes de 2010 y 2016 superan el rango de actualidad; el trabajo de Pedreros se describe como «trabajo de grado» en el problema y «trabajo de posgrado» en antecedentes, y no tiene enlace de repositorio. La Resolución 639 de 2021 es normativa, no antecedente investigativo. Los antecedentes de Zapata et al. (2010) y Pedreros (2016) carecen de objetivo, método y resultados. Se duplican párrafos del problema.</t>
  </si>
  <si>
    <t xml:space="preserve">Se limita a un marco conceptual de cinco definiciones, construidas casi en su totalidad por citas secundarias (Cardona y Padierna, 2017; García y Pradas, 2017; Pedrosa, 2016; Méndez, 2014, «como se citó en» Barahona Vinasco et al., 2023). No hay marco teórico: falta el modelo de gestión estratégica y la teoría administrativa que fundamente las funciones. Inconsistencia interna: se anuncian «cinco funciones» (planear, organizar, dirigir, ejecutar, controlar) y luego se desarrollan cuatro. «Pedrosa, 2016» difiere del autor de la lista («Pedreros, 2016»).</t>
  </si>
  <si>
    <t xml:space="preserve">Correspondencia cita–referencia casi completa, pero con tres fallas: «Pedrosa (2016)» vs. «Pedreros (2016)»; la Resolución 639 de 2021 se cita a través de una página del IDRD sin referencia propia; Cardona y Padierna (2017) y García y Pradas (2017) figuran en la lista como fuentes primarias mientras se citan como secundarias. Ley 181 de 1995 no sigue el formato APA 7 (falta Congreso de la República de Colombia como autor y año entre paréntesis tras el título). Faltan DOI o URL en Méndez Álvarez et al. (2024) y Pedreros (2016). Introducción con errores ortográficos y sintácticos recurrentes, portada con errores («Faculta de Medio Ambiente», «caldas»), Metodología y Resultados con texto de plantilla, y declaración de IA incompleta y mal redactada.</t>
  </si>
  <si>
    <t xml:space="preserve">Mejor estructurado del curso en niveles internacional, nacional y local, con datos territoriales verificables (Secretaría Distrital de Planeación, 2024: 85,9 % de manzanas de estrato 1 de Kennedy en Patio Bonito; Alcaldía Local de Kennedy, 2026: más de 2.000 cupos gratuitos) y vacío explícito. Debilidades: no se aporta ninguna cifra sobre las escuelas (número en Patio Bonito, ingresos, deserción, cierres), de modo que el problema —la dificultad de sostenibilidad financiera— no se evidencia; el propio texto señala que la oferta gratuita «no permite afirmar» dificultades financieras. Faltan causas y consecuencias. Los datos de estratos se repiten tres veces (Introducción, Contexto y Justificación). Patio Bonito se denomina indistintamente «barrio», «UPZ» y «localidad».</t>
  </si>
  <si>
    <t xml:space="preserve">Interrogante descriptivo, único, con objeto, población, lugar y periodo bien delimitados. «En función de las condiciones socioeconómicas» obliga a definir cómo se medirá esa variable.</t>
  </si>
  <si>
    <t xml:space="preserve">Verbo «caracterizar», un propósito, contexto y periodo completos, y concordante con la pregunta. No incluye «crecimiento institucional», que sí se desarrolla en antecedentes y marco teórico.</t>
  </si>
  <si>
    <t xml:space="preserve">OE1 (identificar) es medible y acotado. OE2 combina tres objetos (estrategias, condiciones socioeconómicas y factores asociados a la sostenibilidad) y exige un análisis relacional que la pregunta descriptiva no contempla. OE3 (proponer lineamientos) es de nivel proyectivo y no está contenido en el objetivo general.</t>
  </si>
  <si>
    <t xml:space="preserve">Desarrolla las perspectivas académica, social y práctica con fuentes (Pachau Torres et al., 2026; Secretaría Distrital de Planeación, 2024; Altamar Bruno et al., 2020). Incluye la limitación de no generalizar. No expone viabilidad (acceso a las escuelas, número de unidades, instrumentos). Extensa (cinco párrafos) y con reiteración del párrafo social sobre la oferta gratuita.</t>
  </si>
  <si>
    <t xml:space="preserve">Tres niveles, con síntesis de tendencias y brecha (modelo del curso). Los estudios incluyen objetivo, método y resultado. Limitaciones: tres de los siete estudios nacionales y locales son trabajos de grado o planes de negocio; el antecedente de Mora Poveda (2021) es de formación musical, no deportiva; un antecedente local se cita como «MetaFlip, s/f» (nombre de un visor de repositorio, no el autor). La cita de Rodríguez Castiblanco y Pérez Cortes (2019) remite a una entrada de referencia sin autores.</t>
  </si>
  <si>
    <t xml:space="preserve">Cinco conceptos con definiciones de dos a tres líneas; tres sin fuente (estrategias de marketing, crecimiento institucional, escuelas de formación) y dos sustentadas solo en Gutiérrez Montaña (2008), que no aparece en la lista de referencias. No hay marco teórico: Fullerton y Merz (2008), citados en la Introducción, no se retoman. No se definen variables ni dimensiones medibles de sostenibilidad financiera o de condiciones socioeconómicas (por ejemplo, estrato). Al final del apartado quedan dos citas sueltas («(Informe de Gestión a diciembre | IDRD…, s/f)» y «(Rodríguez, 2015)») sin texto asociado.</t>
  </si>
  <si>
    <t xml:space="preserve">Uso sistemático de paréntesis en citas narrativas: «(Fullerton &amp; Merz, 2008) plantean», «(Torres et al., 2026), mediante…», «(Calahorro-López y Ratkai (2024)», «(Ministerio del Deporte, 2024.)», «((Instituto Distrital… [IDRD], 2026)». La misma fuente se cita como «Torres et al., 2026» y «Pachau Torres et al., 2026» y figura dos veces en la lista (una con autores repetidos). 11 de 20 citas no se localizan por autor-año porque las referencias están escritas con el título de la página como autor («Vista de Los clubes de fútbol europeos…», «Parque Patio Bonito | IDRD…», «MetaFlip», «3._diagnostico_de_pdl_de_kennedy»). Gutiérrez Montaña (2008) no tiene referencia. Se emplea «s/f» en lugar de «s. f.», se mantiene la marca «utm_source=chatgpt.com» en un enlace y hay títulos en mayúsculas. Quedan en el documento textos de plantilla (Glosario, «Acá va el resumen») y el nombre del asesor con error («Mnedoza»).</t>
  </si>
  <si>
    <t xml:space="preserve">El texto describe la situación local (cruces de horario, canales de difusión, inscripción), pero no distingue los niveles internacional, nacional y local, y los encabezados «¿Qué?», «¿En quiénes?», «¿Dónde?», «¿En qué periodo?» son guion de trabajo sin redactar. La sección «Magnitud» reporta que «entre el 60 % y el 80 % de la población universitaria en Colombia» es inactiva y atribuye la cifra a Sevil Serrano et al. (2017), estudio de autores españoles con 901 participantes cuyo resumen no indica una muestra colombiana (verificado en el resumen de la fuente), y a Ramírez-Vélez et al. (2016); y reporta 48 % a 67 % de barreras «en el contexto universitario colombiano» con Franco-Idárraga et al. (2022), cuya población es de Manizales. No hay ningún dato de la sede (equipos inscritos, partidos perdidos por W, abstención), aunque el texto habla de «alta tasa de abstención» y «constante pérdida de puntos por w». Causas y consecuencias están desarrolladas (individual, operativa, gestión) pero sin respaldo empírico. El problema presupone la respuesta (que las barreras son logísticas) y el vacío solo se formula en Antecedentes. Hay una oración incompleta («La falta de articulación entre sus cargas horarias académicas y la organización del torneo.»).</t>
  </si>
  <si>
    <t xml:space="preserve">Interrogante único, concreto y con población, escenario y periodo. Es extensa por la enumeración entre paréntesis y por «según su frecuencia e intensidad percibida», que ya define el instrumento. La lista cerrada de cuatro barreras limita la posibilidad de hallar otras.</t>
  </si>
  <si>
    <t xml:space="preserve">Verbo «determinar» medible, con delimitación completa. Duplica la pregunta; no hay inconsistencia, pero la medición de «frecuencia e intensidad percibida» debe definirse en la metodología (que en este documento está sin elaborar).</t>
  </si>
  <si>
    <t xml:space="preserve">OE1 introduce «hábitos de participación», variable ausente en la pregunta. OE2 y OE3 se solapan (incidencia percibida vs. jerarquización por frecuencia e intensidad). OE4 (proponer estrategias) pertenece a otro nivel (aplicado) y no está en el general.</t>
  </si>
  <si>
    <t xml:space="preserve">Tres líneas (social e institucional, práctica, académica) con destinatarios identificados (coordinación del torneo). Sustento débil: «la literatura científica confirma que la práctica deportiva recreativa… previene el abandono temprano» se respalda con Ramírez-Vélez et al. (2016), estudio sobre barreras percibidas y obesidad abdominal. Redacción en primera persona («nuestra sede», «encontramos»). No se expone viabilidad (acceso a la población, tamaño).</t>
  </si>
  <si>
    <t xml:space="preserve">Cinco revisiones sistemáticas (2019 a 2026) resumidas en una tabla y agrupadas por temas, con límites de la evidencia y vacío explícito: el esquema mejor organizado del curso. Limitaciones: todas son revisiones generales de actividad física; no hay estudios sobre torneos internos, deporte universitario o logística, ni nacionales o locales. El estilo es coloquial («algo parecido», «pesaban», «sirve poco»). No se explica la estrategia de selección de las revisiones.</t>
  </si>
  <si>
    <t xml:space="preserve">Selección teórica pertinente (modelo jerárquico de restricciones del ocio: Crawford et al., 1991; Jackson, 1988) y cuatro subdimensiones operativas. La sección «Logística deportiva y gestión de actividades deportivas» (tres párrafos) no tiene ninguna cita. Algunas fuentes no respaldan lo afirmado: Flórez Saavedra y Herrada Urriago (2021, tesis de Enfermería sobre actividad física) define «barreras logísticas»; Cardona-Mejía y Padierna-Cardona (2021, sobre programas académicos) respalda el estado de las canchas; y la afirmación de que los cruces de horario son «el factor que con mayor frecuencia genera… derrotas por W» se atribuye a dos estudios que no tratan torneos. Redacción en primera persona plural. La subdimensión «trámites de inscripción y equipamiento» incorpora un elemento (equipamiento) que no está en el objetivo.</t>
  </si>
  <si>
    <t xml:space="preserve">Citas: «(Crawford et al., 1991) &amp; (Jackson, 1988) quienes plantean»; falta el punto final antes de la cita en varios párrafos; Crawford et al. (1991a) se cita con y sin sufijo. Referencias: Crawford et al. (1991a y 1991b) y Sevil Serrano et al. (2017a y 2017b) son entradas idénticas; las listas de autores de Franco-Idárraga et al. (2022) y Sevil Serrano et al. se repiten completas dentro de la misma entrada; Brown, Ferreira Silva, Mella-Norambuena, Pan y Sim aparecen después de Sevil Serrano (rompen el orden alfabético); tesis rotulada «Bachelor thesis, Enfermería» en inglés. Portada con «Kildeman», «Figeroa», «Monografía presentado… título de en»; Metodología y Resultados con texto de plantilla.</t>
  </si>
  <si>
    <t xml:space="preserve">Se organiza en niveles internacional, nacional y local. Los niveles internacional y nacional se construyen con informes institucionales (FIFA, 2023a, 2023b; UEFA, 2019; DIMAYOR, 2026; Federación Colombiana de Fútbol, 2025; Ministerio del Deporte, 2025) que no tienen referencia en la lista, de modo que no son verificables. El nivel local no describe una situación en la sede; solo justifica la elección de la población. No se enuncia el vacío. La sección «A quiénes afecta y qué consecuencias tiene» contiene fragmentos sin sujeto («a nivel académico vemos…»), minúsculas iniciales («bosa porvenir»), primera persona («analizamos»), y atribuye a Martínez Mina (2025) afirmaciones sobre patrocinios y contratos. En «Magnitud» se afirma que «más del 70 % de las marcas… destinan la totalidad de su presupuesto… al fútbol masculino» (Clavijo Vidal y Vidal Cañas, 2021, trabajo de grado) y que las transmisiones han sido «menos del 15 %» citando un reglamento de competencia, que no es fuente de series históricas. Persisten las etiquetas de plantilla «¿Qué?», «¿En quienes?», y se denomina «Facultad de Administración Deportiva» a la Facultad de Medio Ambiente y Recursos Naturales.</t>
  </si>
  <si>
    <t xml:space="preserve">Interrogante único y abierto (¿cuál es la percepción…?). No hay coherencia en la población: la etiqueta «¿En quiénes?» menciona «estudiantes femeninas», la pregunta alude a las estudiantes del proyecto curricular y la Introducción y la Justificación a las «experiencias de las jugadoras». «Influencia» sugiere causalidad que un estudio de percepción no puede establecer, y «visibilidad» no está definida. La percepción de estudiantes tiene escaso valor como evidencia sobre el marketing de una liga si no se justifica su conocimiento del tema.</t>
  </si>
  <si>
    <t xml:space="preserve">Verbo «analizar», un propósito, población, escenario y periodo explícitos; reproduce la pregunta. Su alcance se limita a percepciones y excluye lo que la Introducción y el título anuncian (narrativas de jugadoras).</t>
  </si>
  <si>
    <t xml:space="preserve">OE1 mezcla tres niveles de visibilidad (mediática, digital e institucional) en una sola enunciación. OE2 («identificar la lectura analítica… sobre aplicación del marketing») no es operacionalizable. OE3 introduce «sostenibilidad profesional» sin definición. OE4 está redactado con error gramatical («Proponer estrategias de marketing deportivo y potenciar la visibilidad») y excede el nivel del objetivo general.</t>
  </si>
  <si>
    <t xml:space="preserve">Tres párrafos que hablan de «experiencias de las jugadoras», de la formación de las estudiantes y de la delimitación 2020-2026 (distinta de 2026-3). Las fuentes son un trabajo de grado y los informes de FIFA que no están en las referencias. No se plantean viabilidad ni utilidad concreta para la gestión deportiva.</t>
  </si>
  <si>
    <t xml:space="preserve">La tabla incluye cuatro fuentes, una de las cuales es el Reglamento de la Liga (no es investigación) y dos son trabajos de grado. Las filas registran un hallazgo de una línea sin objetivo, método ni población; la de Cabrera Camacho y Hortúa Calderón (2021) es un fragmento («El posicionamiento de marca de las jugadoras»). No hay antecedentes internacionales ni síntesis ni vacío. El párrafo introductorio reproduce la fórmula de otro trabajo del curso («Para no presentarlas una por una, se agruparon temáticamente»).</t>
  </si>
  <si>
    <t xml:space="preserve">La «Referencia teórica» consta de tres apartados (Contexto global, Panorama nacional, Estudios locales) que repiten los antecedentes; no desarrollan teoría ni definen marketing deportivo, patrocinio, visibilidad, imagen de las deportistas o percepción. La única fuente del primer apartado es «Liga de Dinero del Fútbol Deloitte 2026, s/f» sin autor ni enlace; el segundo apartado afirma conclusiones («es importante desarrollar mejores estrategias») que no se sustentan en el texto. Redacción coloquial («muchas veces», «buenos resultados»).</t>
  </si>
  <si>
    <t xml:space="preserve">Solo 6 referencias frente a 12 fuentes citadas: faltan FIFA (2023a, 2023b), UEFA (2019), DIMAYOR (2026), Federación Colombiana de Fútbol (2025) y Ministerio del Deporte (2025). «Clavijo Silva y Vidal Cañas» (texto) vs. «Clavijo Vidal» (lista). «Martinez Mina (2025)» sin tilde y titulada en mayúsculas. «REGLAMENTO-LIGA-FEMENINA-2026. (s/f)» y «Liga de Dinero del Fútbol Deloitte 2026. (s/f)» no tienen autor corporativo ni enlace. Trabajos de grado sin enlace al repositorio y con errores en el título («Desarollo e implementacion… futbol»). El título del trabajo coincide, salvo la palabra «femenino», con el del trabajo de grado de Clavijo Vidal y Vidal Cañas (2021) que figura en la lista de referencias del propio documento. Persisten textos de plantilla (resumen, abstract, metodología y resultados) y la declaración de IA está en Anexos sin herramienta ni versión.</t>
  </si>
  <si>
    <t xml:space="preserve">Estructura internacional-nacional-local con evidencia citada (Ferreira-Barbosa et al., 2022; Zeithaml et al., 1996; Do &amp; Dang, 2026; Matus-Castillo et al., 2023; Rubio Silva et al., 2023; IDRD, 2022) y vacío formulado de manera explícita. Debilidad principal: el texto reconoce que no existen cifras de usuarios, retención o abandono del gimnasio (el nivel local carece de datos), de modo que el «problema» es una brecha de conocimiento y no una situación documentada. Las consecuencias se enuncian en condicional («podrían disminuir su uso») y no se identifican causas. La Introducción y el problema reiteran la misma idea. Mezcla de formatos numéricos («55.6%» y «55.6 %»).</t>
  </si>
  <si>
    <t xml:space="preserve">Interrogante único, con variables, población, escenario y periodo. «¿Cómo se asocia…?» admite una respuesta cualitativa; «¿Qué relación existe…?» o «¿En qué medida se asocia…?» expresa mejor el alcance correlacional. La pregunta se repite como título en la portada, con una extensión que excede la de un título.</t>
  </si>
  <si>
    <t xml:space="preserve">Verbo «analizar» con adverbio «cuantitativamente», un solo propósito, variables y delimitación completas. Responde a la pregunta.</t>
  </si>
  <si>
    <t xml:space="preserve">Los cuatro objetivos son secuenciales (caracterizar, describir, relacionar, comparar) y cubren el general. El OE3 incluye «(correlación de Spearman o regresión)» y el OE4 «(Mann-Whitney o Kruskal-Wallis)»: la técnica estadística corresponde a la metodología y la disyunción «o» deja la decisión abierta. El OE4 está condicionado a que cada subgrupo tenga al menos 30 respuestas, cuando la meta mínima de la muestra es 85, de modo que no puede garantizarse la comparación por tres variables.</t>
  </si>
  <si>
    <t xml:space="preserve">Tres párrafos (conocimiento de la relación, utilidad para la administración, pertinencia para la Administración Deportiva). El primer enunciado es circular («es importante porque busca conocer…»), el sustento se reduce a Ferreira-Barbosa et al. (2022) y Zeithaml et al. (1996), no se retoma el vacío ni se indican beneficiarios con precisión ni viabilidad. El segundo párrafo presenta una coma en lugar de punto («…de la universidad, conocer la opinión de los estudiantes…»).</t>
  </si>
  <si>
    <t xml:space="preserve">Ocho estudios (2021-2026) agrupados en cuatro temas, con muestra, método, resultado y aporte para la tesis, y síntesis con vacío (el apartado mejor construido del curso). Se declara la estrategia de búsqueda, aunque limitada a «la web abierta» y a índices de acceso abierto. Los antecedentes colombianos son de actividad física y barreras, no de calidad de servicio; no hay antecedente local de la Universidad Distrital. Los párrafos de Ferreira-Barbosa, Do y Dang y Matus-Castillo se repiten del planteamiento.</t>
  </si>
  <si>
    <t xml:space="preserve">Sustento teórico pertinente y con fuentes primarias: SERVQUAL (Parasuraman et al., 1988), SERVPERF (Cronin &amp; Taylor, 1992), QUESC (Kim &amp; Kim, 1995), teoría del comportamiento planificado (Ajzen, 1991) y Zeithaml et al. (1996). Justifica la elección SERVPERF y define la variable dependiente como intención declarada. No define «satisfacción», que se emplea como mediadora en la argumentación. La hipótesis se ubica en el marco teórico.</t>
  </si>
  <si>
    <t xml:space="preserve">Correspondencia cita–referencia completa en los capítulos 1 y 2. Errores menores: «(Do &amp; Dang, 2026), Aunque…» (coma tras el paréntesis y mayúscula); mezcla de «&amp;» y «y» en citas dentro y fuera de paréntesis; Parasuraman et al. (1988) sin DOI. Persisten marcas de trabajo no resueltas: «[COMPLETAR al terminar el Capítulo 4…]» en el Resumen y el Abstract, «[CONFIRMAR…]», «[firmas]» y «[fecha]» en la declaración de IA, y un Anexo G con un prompt reutilizable dentro de un documento de grado. Portada con «Monografía presentado» y «Centro Universitario Distrital Francisco José de Caldas».</t>
  </si>
  <si>
    <t xml:space="preserve">Contexto internacional (Burton, 2015; Evans y Pfister, 2021), nacional (Ministerio del Deporte y ONU Mujeres, 2022: 13 % y 22 % de mujeres en representación legal; Ley 581 de 2000 modificada por Ley 2424 de 2024) y universitario (Pardo Calvache et al., 2024: 44 % y 29,7 %), con enunciado explícito del problema como falta de evidencia. Debilidades: los tres niveles se encuentran en la Introducción y no en la sección «Descripción del problema», que repite el argumento; no hay cifras del programa ni de la sede; las consecuencias se formulan como supuesto («la brecha podría comenzar a consolidarse»), que el propio texto reconoce como no probado. El marco normativo ocupa casi la mitad de la Introducción sin conexión directa con la pregunta. Se usa «anteproyecto» en lugar de monografía.</t>
  </si>
  <si>
    <t xml:space="preserve">Interrogante único, con población, comparación, sede y periodo. Es extensa pero clara. «Situaciones de desigualdad» debe operacionalizarse (oportunidades, trato, integración).</t>
  </si>
  <si>
    <t xml:space="preserve">Verbo «analizar», un solo propósito, delimitación completa y concordancia con la pregunta. La comparación con compañeros hombres se declara en el objetivo.</t>
  </si>
  <si>
    <t xml:space="preserve">Tres verbos en infinitivo en orden creciente de complejidad (identificar, describir, comparar), alineados con el general. OE2 reúne tres dimensiones (oportunidades, trato, integración) que deben aparecer como categorías del instrumento. Tras los objetivos se incluye un párrafo metacomentario («Cada objetivo usa un solo verbo… siguiendo las orientaciones… de Tamayo y Tamayo, 2004») que no corresponde a un trabajo de grado.</t>
  </si>
  <si>
    <t xml:space="preserve">Es el único texto del curso que separa valor teórico, utilidad metodológica y viabilidad, y que declara riesgos (baja tasa de respuesta, sensibilidad del tema). Debilidades: el primer párrafo es un fragmento gramatical («Estudiar cómo perciben… permitiendo conocer,…»); incluye una nota pendiente («Falta confirmar con la coordinación…»); habla de «el autor» pese a que son tres integrantes; la utilidad metodológica se sustenta con Creswell y Creswell (2018) y con Pardo Calvache et al. (2024) sin explicar la relación.</t>
  </si>
  <si>
    <t xml:space="preserve">Cinco estudios (2022-2026) organizados en tres ejes, con muestra, diseño, resultados y aporte, más un apartado «Vacío de conocimiento y aporte del estudio». Faltan los estudios de administración deportiva en Bogotá o en Colombia; los antecedentes deportivos corresponden a deportistas de España. Los cuatro estudios centrales (Bartual Figueras et al., 2022; Donoso Pérez et al., 2023; Iregui-Bohórquez et al., 2026; Oviedo Oviedo et al., 2024) no tienen referencia en la lista. Pardo Calvache et al. (2024) se describe en la Introducción y se repite en los antecedentes.</t>
  </si>
  <si>
    <t xml:space="preserve">Sustento teórico variado y con fuentes primarias (Jacobs, 1996; Sallee, 2011; Steele et al., 2002; Harris et al., 2014; Tinto, 1993), con cautelas explícitas sobre su aplicabilidad. Debilidades: la sección inicia con un objeto distinto al de la pregunta (ingreso y permanencia); la teoría de roles sociales se presenta con Grappendorf y Burton (2016), sin la fuente teórica original; las definiciones de «desigualdad de género» y «trayectoria académica» se encuentran en la Introducción, no en el marco.</t>
  </si>
  <si>
    <t xml:space="preserve">Cuatro antecedentes y el Acuerdo/Resolución UD (2026b) se citan sin referencia; Asamblea General de las Naciones Unidas (2015) y Hernández-Sampieri y Mendoza Torres (2018) figuran sin citarse. Cinco entradas (Grappendorf y Burton, Harris et al., Jacobs, Sallee, Steele et al.) aparecen duplicadas, la segunda vez fuera del orden alfabético. La lista usa «y» en las primeras entradas y «&amp;» en las demás. Congreso (2000, 2024b) sin enlace. El comunicado de prensa del Ministerio se enlaza a un archivo alojado en un sitio de prensa privada. La declaración de IA está en primera persona del singular, sin modelo ni fechas de uso y conserva un campo «[opcional: sugerencias de claridad y coherencia en el texto]».</t>
  </si>
  <si>
    <t xml:space="preserve">Descripción en cuatro niveles (internacional, regional, nacional, local) con cifras verificables (Deloitte, 2025: 692 a 1.880 millones de dólares; Ministerio del Deporte, 2023; El Espectador, 2023), tres tablas de magnitud, actores afectados y vacío formulado. Es el planteamiento más documentado del curso. Debilidades: más de la mitad de las fuentes son prensa (Semana, Infobae, Vanguardia, Vorágine, ESPN); el dato de la Superintendencia de Industria y Comercio (1.274 contratos; 46 %) se atribuye a un artículo de Vorágine cuyo título trata de otro asunto y corresponde a futbolistas (la Justificación lo reformula como «46 % de las futbolistas»); la extensión (aprox. 12 páginas) incluye detalles marginales (resultado de la final de 2023, jugadora de la selección en Brasil). El propio texto reconoce que el Ministerio no registra baloncesto femenino profesional bajo contrato formal, lo que cuestiona la existencia de la población de estudio.</t>
  </si>
  <si>
    <t xml:space="preserve">Interrogante descriptivo con tres variables y periodo (2022-2025), claro y delimitado. Su viabilidad es incierta: el documento muestra que las ediciones de 2024 y 2025 no están registradas, que los clubes no publican presupuestos y que no hay contratos formales, de modo que la respuesta podría limitarse a constatar la ausencia de datos.</t>
  </si>
  <si>
    <t xml:space="preserve">Verbo «analizar» y delimitación completa, pero incorpora el método («mediante la revisión documental de fuentes federativas, estatales, normativas y de prensa especializada») y agrupa tres variables económicas en un solo enunciado.</t>
  </si>
  <si>
    <t xml:space="preserve">Cuatro objetivos en secuencia lógica. El OE1 es un paso previo (inventario de certámenes). El OE3 introduce la unidad de referencia (SMLMV), que es criterio de análisis. El OE4 incluye comparación con el baloncesto masculino y con tendencias internacionales, fuera de la delimitación declarada («la rama masculina considerada en sí misma»). La disponibilidad de datos para OE2 y OE3 no está asegurada.</t>
  </si>
  <si>
    <t xml:space="preserve">Cinco apartados (teórica, social, práctica, disciplinar, viabilidad) con entregables concretos (inventario, caracterización presupuestal, matriz comparativa) y limitación reconocida (la información financiera de los clubes no es de publicación obligatoria). Sustentada en Deloitte (2025), Torres-Romay y García-Mirón (2020), El Espectador (2023) y la Ley 1445 de 2011. Repite argumentos del problema.</t>
  </si>
  <si>
    <t xml:space="preserve">Estructura internacional y nacional con síntesis del vacío. Incluye el informe del Ministerio del Deporte (2023) como antecedente más cercano, y estudios sobre brecha salarial y patrocinio (Pérez Gázquez y Barquero-Ruiz, 2024; Marín Malo, 2024; Torres-Romay y García-Mirón, 2020) y sobre fútbol (Martínez Mina et al., 2019; Marín y Rodríguez, 2019). Ningún antecedente trata baloncesto femenino y no hay antecedente local. Algunos estudios se describen sin método ni muestra.</t>
  </si>
  <si>
    <t xml:space="preserve">Dos cuerpos teóricos con fuentes de base (Szymanski, 2003; Rodríguez Guerrero, 2012; Meenaghan, 1991; Cornwell, 1995) y tres conceptos operativos con definición (presupuesto de club, brecha económica de género, SMLMV). La síntesis explica cómo las teorías se relacionan con la pregunta y reconoce que no permiten anticipar resultados. Los conceptos se apoyan en el informe del Ministerio y en Torres-Romay y García-Mirón (2020).</t>
  </si>
  <si>
    <t xml:space="preserve">Las referencias corresponden a las citas, pero dos fuentes con el mismo autor y año (Ministerio del Deporte, 2023, 23 de mayo; Ministerio del Deporte, 2023, agosto) carecen de sufijos a/b y el texto cita «Ministerio del Deporte, 2023» y «El Ministerio del Deporte, 2023» indistintamente; FIBA (2025a, 2025b) se cita como «FIBA, 2025». Szymanski (2003) y Cornwell (1995) se enlazan a ResearchGate en lugar de a DOI o a la editorial. Más de la mitad de la lista corresponde a prensa y a páginas web. Ley 181 de 1995 se incluye sin citarse en el texto. No hay Declaración de uso de IA; la IA solo se menciona en las notas de las tablas («Elaboración con ayuda de IA»).</t>
  </si>
  <si>
    <t xml:space="preserve">Mantiene las etiquetas internacional, nacional y local, pero el nivel internacional se sustenta con Castro et al. (2019), estudio colombiano sobre un solo club, que se repite en el nivel nacional. No hay datos de magnitud (uso de herramientas en clubes, perfiles requeridos, oferta curricular), ni causas o consecuencias, y el vacío se formula como «no se sabe mucho». La Introducción emplea oraciones telegráficas y coloquiales («Para arreglar esto», «Quieren saber», «Son estratégicos»). Falta el espacio antes del paréntesis en las citas («tácticos(Castro et al., 2019)»).</t>
  </si>
  <si>
    <t xml:space="preserve">Interrogante único, con población, objeto, escenario y año. «Potencial de las herramientas» es un constructo amplio sin definición operativa, y la capacidad de estudiantes de tercer semestre para valorar ese potencial no se justifica.</t>
  </si>
  <si>
    <t xml:space="preserve">Enunciado de unas 90 palabras que combina tres propósitos (analizar la percepción, identificar conocimiento-interés-valoración y comprender la relación con las competencias de formación). Excede la pregunta. Contiene la delimitación completa.</t>
  </si>
  <si>
    <t xml:space="preserve">Cada objetivo tiene entre 55 y 70 palabras, con listas de ejemplos y cláusulas finales («con el propósito de…», «teniendo en cuenta…»). OE1 reúne conocimiento, familiaridad e interés; OE3 introduce la relación con la formación recibida. Hay un error tipográfico («José d e Caldas») y falta el punto final en OE1.</t>
  </si>
  <si>
    <t xml:space="preserve">Tres apartados (relevancia social, utilidad práctica e insumo curricular, aporte disciplinar) con propósito claro para el programa, pero sin una sola cita. Emplea afirmaciones no sustentadas y en tono promocional («evidencia empírica rigurosa», «aporte significativo», «tecnologías de vanguardia», «escasez de investigaciones»). No expone viabilidad.</t>
  </si>
  <si>
    <t xml:space="preserve">Solo tres estudios (Moya Delgado, 2025; Ati et al., 2024; Castro et al., 2019) sobre analítica y aprendizaje automático en fútbol; ninguno trata percepción de estudiantes ni formación en administración deportiva. Se sobredimensionan los hallazgos («minimiza casi en su totalidad el margen de error humano», «demostraron») y se generaliza de un club a «los clubes profesionales de Bogotá». El «antecedente local» describe la propia investigación. No hay síntesis ni vacío. Davidson et al. (2024), el estudio más cercano (percepción de profesionales), solo aparece en la tabla CRAAP.</t>
  </si>
  <si>
    <t xml:space="preserve">Tres categorías (herramientas y análisis táctico; toma de decisiones y rendimiento; formación y apropiación tecnológica) sustentadas en revisiones (Goes et al., 2021; Rico-González et al., 2022; Otero-Saborido et al., 2021; Caicedo-Parada et al., 2020), Seifert et al. (2013), Zimmer y Keiper (2021) y DigComp 2.2. Se incluye un marco institucional y normativo del programa y una tabla CRAAP de evaluación de fuentes. Faltan definiciones de «percepción» y «potencial», que son las variables del estudio. La cita «Riina et al., 2022» usa el nombre de pila del primer autor como apellido (corresponde a Vuorikari, Kluzer y Punie, 2022).</t>
  </si>
  <si>
    <t xml:space="preserve">Referencias con nombre de la página como autor («Generalidades | Administración Deportiva. (s. f.)», «Funciones y deberes. (s. f.). Minciencias»), con fuentes no oficiales para la ley (Scribd) y con una entrada corrupta («June 1, E. date, June 1, 2003 with amendments effective, 2010, January 1, &amp; reserved, 2017 Copyright © 2017 American Psychological Association All rights. (s. f.). Ethical principles…»). «Riina, V., Stefano, K., &amp; Yves, P. (2022)» invierte nombres y apellidos; Galicia Alarcón duplica su autor; Goes et al. usa iniciales en minúscula; Briggs Baffoe-Djan conserva «1.^(a) ed.»; Márquez et al. (s. f.) con título en mayúsculas y sin editorial. Portada con título de «Licenciado en Educación Infantil». Persisten instrucciones de plantilla (Referente teórico, Metodología, Resultados) y la Declaración de uso de IA está vacía.</t>
  </si>
  <si>
    <t xml:space="preserve">Redacción formal y ordenada en niveles internacional, nacional y local, con vacío explícito. Sin embargo, no hay un problema documentado: el texto plantea una oportunidad tecnológica («podría constituirse en una herramienta de apoyo») y no una dificultad en la formación de competencias; no se aportan cifras de uso de realidad virtual, de oferta curricular ni de brechas de competencias, y las causas y consecuencias están ausentes. El nivel nacional se sustenta únicamente en una página institucional del MEN (2024) y el local no cita fuentes. La Introducción repite buena parte del problema.</t>
  </si>
  <si>
    <t xml:space="preserve">Interrogante único con población, objeto y periodo. «Estudiantes del programa» incluye todos los semestres, lo que lleva a valorar la percepción de personas sin experiencia con la tecnología; «competencias establecidas en el perfil de egreso» exige especificar cuáles y no se retoman en el marco teórico. La sede no figura en la pregunta pero sí en el objetivo general.</t>
  </si>
  <si>
    <t xml:space="preserve">Verbo «analizar», un solo propósito y delimitación de programa, sede y periodo. Responde a la pregunta.</t>
  </si>
  <si>
    <t xml:space="preserve">Tres objetivos que cubren el general en secuencia lógica. «Reconocer» es un verbo de baja precisión para un resultado verificable. El OE2 incorpora el método («a partir de un listado construido con base en la literatura») y el OE3 reúne tres objetos (beneficios, posibilidades y limitaciones). Se presentan con viñetas y no con numeración.</t>
  </si>
  <si>
    <t xml:space="preserve">Ocho fuentes de revisiones sistemáticas (Radianti et al., 2020; Conrad et al., 2024; Santilli et al., 2025; Putranto et al., 2023; Pinargote Castro et al., 2024) y documentos institucionales (MEN, MinTIC, Icfes). Cubre el valor académico y el contexto colombiano. No expone el beneficio práctico concreto para el programa (por ejemplo, insumo curricular), ni la viabilidad; los párrafos nacionales sobre MinTIC e Icfes no se vinculan con la pregunta.</t>
  </si>
  <si>
    <t xml:space="preserve">Tres niveles (internacional, nacional, local) con estructura repetida y consistente: qué hizo el estudio, por qué es pertinente y en qué se diferencia («sin embargo, no aborda…»). Los antecedentes internacionales son revisiones indexadas (2023-2025), pero los nacionales y locales son más débiles: un trabajo de grado sobre matemáticas en octavo grado (Chacón Gómez, 2022), una nota de prensa de la Facultad de Ingeniería y menciones al repositorio sin citar. Cabrera-Duffaut (2024) se presenta como autor único con verbo en plural; la fuente tiene tres autores. No hay síntesis integradora ni vacío al cierre de la sección.</t>
  </si>
  <si>
    <t xml:space="preserve">Tres referentes pertinentes y con fuentes de base (Kolb, 1984; Davis, 1989), articulados mediante un esquema de relación entre realidad virtual, experiencia simulada, percepción y competencias. El apartado «Percepción de los estudiantes» no tiene fuente; la definición de competencias profesionales tampoco. El aprendizaje experiencial y el TAM se desarrollan en dos párrafos cada uno. La cita de Cabrera-Duffaut (2024) repite el error de autoría.</t>
  </si>
  <si>
    <t xml:space="preserve">Citas narrativas entre paréntesis y con el verbo en plural para un autor único: «(Putranto et al., 2023) realizaron», «(Cabrera-Duffaut, 2024) desarrollaron», «(Kolb, 1984) plantea». Salgado García y Fernández Gualteros (2024), Primer piloto 5G y el repositorio EAN figuran por el título de la página; dos enlaces conservan el parámetro «utm_source=chatgpt.com». Putranto et al. (2023) está duplicada y la lista se divide en dos bloques alfabéticos. Cabrera-Duffaut (2024) está registrada con un solo autor y el título comienza con «Frontiers |». La declaración de IA es una frase entrecomillada en el cuerpo («Se utilizó ChatGPT para organizar las ideas…») y el anexo «Uso ético y transparente de la IA» está vacío.</t>
  </si>
  <si>
    <t xml:space="preserve">La sección es breve (cuatro párrafos) y descriptiva: presenta el marketing digital como campo relevante, pero no un problema. Los niveles nacional y local no tienen fuentes ni datos (número de clubes, seguidores, publicaciones, inversión en comunicación). No hay magnitud, causas ni consecuencias. El vacío («producción académica nacional limitada») se afirma sin evidencia de búsqueda. La Introducción incluye lenguaje de proceso interno («La propuesta parte de una lluvia de ideas…») y la «Delimitación del tema» conserva las etiquetas de plantilla (¿Qué?, ¿En quiénes?, ¿Dónde?, ¿En qué periodo?). Romero-Jara et al. aparece como 2023 en la Introducción y 2024 en el problema y los antecedentes.</t>
  </si>
  <si>
    <t xml:space="preserve">Interrogante correlacional claro, con variables, unidad de análisis, plataforma y periodo. Es la pregunta mejor operacionalizada del curso. Los clubes específicos y la muestra de publicaciones no se definen todavía.</t>
  </si>
  <si>
    <t xml:space="preserve">Verbo «determinar la relación», único propósito, variables, plataforma y periodo explícitos. Coincide con la pregunta.</t>
  </si>
  <si>
    <t xml:space="preserve">Seis objetivos que describen pasos del procedimiento de análisis (identificar frecuencia, clasificar formatos, calcular tasa de engagement, analizar la correlación, comparar formatos, interpretar). Los tres primeros son tareas de recolección y el sexto no tiene resultado verificable. Se podrían condensar en tres objetivos (describir, relacionar, comparar).</t>
  </si>
  <si>
    <t xml:space="preserve">Cuatro dimensiones (disciplinar, social, académica y práctica) con destinatarios identificados (departamentos de mercadeo, agencias, patrocinadores). Ninguna se sustenta con fuentes; el quinto párrafo es una explicación metodológica y no una justificación. No se presenta la viabilidad (acceso a datos públicos, herramienta de extracción).</t>
  </si>
  <si>
    <t xml:space="preserve">Cuatro estudios (Filo et al., 2015; Aichner, 2019; Vale y Fernandes, 2018; Romero-Jara et al., 2024) con muestra, método, resultado y relevancia, y una síntesis breve. Todos son internacionales y tres tienen entre 7 y 11 años; no hay antecedentes de Colombia ni de Latinoamérica, a pesar de que la justificación afirma que son escasos. Las revisiones más recientes de la lista de referencias (Cao y Matsuoka, 2025; Einsle et al., 2023; Rai et al., 2025) no se utilizan. El «Vacío identificado» reitera la delimitación del estudio y no argumenta la brecha.</t>
  </si>
  <si>
    <t xml:space="preserve">Es el marco teórico más articulado con el diseño: marketing relacional (Morgan y Hunt, 1994), usos y gratificaciones (Katz et al., 1973), engagement, frecuencia y formato, con aclaraciones sobre lo que la medición con datos públicos puede y no puede inferir. Algunas definiciones (marketing deportivo, frecuencia, formato) no se sustentan con fuente. Verbos categóricos como «demuestra» (Aichner, 2019) no son coherentes con la cautela del resto del texto.</t>
  </si>
  <si>
    <t xml:space="preserve">Lista de referencias con formato APA 7 correcto, orden alfabético y DOI en todas las entradas. Tres referencias no se citan en el texto (Cao y Matsuoka, 2025; Einsle et al., 2023; Rai et al., 2025). Discrepancia de año en Romero-Jara et al. (2023 vs. 2024) entre secciones. Persisten instrucciones de plantilla («En el trabajo se debe indicar cuáles clubes serán incluidos…»; «Indicar la mejor opción de entrega de resultados…»), el encabezado «Declaración de uso de IA» está vacío y el texto de IA aparece en Anexos sin herramienta ni versión; la fecha se presenta como «07/10/2026».</t>
  </si>
  <si>
    <t xml:space="preserve">Errores de normas APA 7.ª edición, redacción y proceso metodológico</t>
  </si>
  <si>
    <t xml:space="preserve">Resumen por categoría y gravedad (fórmulas COUNTIFS sobre el registro) y registro detallado con ubicación y ejemplo.</t>
  </si>
  <si>
    <t xml:space="preserve">A. Resumen por categoría</t>
  </si>
  <si>
    <t xml:space="preserve">Categoría</t>
  </si>
  <si>
    <t xml:space="preserve">Lista de referencias (APA 7)</t>
  </si>
  <si>
    <t xml:space="preserve">Citación en el texto (APA 7)</t>
  </si>
  <si>
    <t xml:space="preserve">Correspondencia cita–referencia</t>
  </si>
  <si>
    <t xml:space="preserve">Declaración de uso de IA</t>
  </si>
  <si>
    <t xml:space="preserve">Plantilla, portada y restos de edición</t>
  </si>
  <si>
    <t xml:space="preserve">Uso y calidad de las fuentes</t>
  </si>
  <si>
    <t xml:space="preserve">Consistencia de datos</t>
  </si>
  <si>
    <t xml:space="preserve">Redacción y ortografía</t>
  </si>
  <si>
    <t xml:space="preserve">Originalidad y pertinencia</t>
  </si>
  <si>
    <t xml:space="preserve">Total de hallazgos</t>
  </si>
  <si>
    <t xml:space="preserve">B. Resumen por gravedad</t>
  </si>
  <si>
    <t xml:space="preserve">Gravedad</t>
  </si>
  <si>
    <t xml:space="preserve">Alta</t>
  </si>
  <si>
    <t xml:space="preserve">Baja</t>
  </si>
  <si>
    <t xml:space="preserve">Control (debe coincidir con el total de A)</t>
  </si>
  <si>
    <t xml:space="preserve">C. Registro detallado</t>
  </si>
  <si>
    <t xml:space="preserve">N.º</t>
  </si>
  <si>
    <t xml:space="preserve">Categoría (resumen)</t>
  </si>
  <si>
    <t xml:space="preserve">Tipo de error</t>
  </si>
  <si>
    <t xml:space="preserve">Ubicación</t>
  </si>
  <si>
    <t xml:space="preserve">Descripción del error</t>
  </si>
  <si>
    <t xml:space="preserve">Ejemplo en el documento</t>
  </si>
  <si>
    <t xml:space="preserve">Referencias</t>
  </si>
  <si>
    <t xml:space="preserve">8 referencias sin cita en el texto</t>
  </si>
  <si>
    <t xml:space="preserve">Bruce (2016); Calvo-Ortega (2020); Gómez-Colell et al. (2017); Olabe Sánchez (2010, 2012); Ramon Vegas et al. (2019); Sainz de Baranda Andújar (2014a, 2014b)</t>
  </si>
  <si>
    <t xml:space="preserve">Antecedentes y marco</t>
  </si>
  <si>
    <t xml:space="preserve">4 citas sin referencia</t>
  </si>
  <si>
    <t xml:space="preserve">Coronel Puello (2024); Entman (1993); Jodelet (2008); Calvo Ortega y Gutiérrez San Miguel (2017)</t>
  </si>
  <si>
    <t xml:space="preserve">Cita en texto</t>
  </si>
  <si>
    <t xml:space="preserve">Antecedentes nacionales</t>
  </si>
  <si>
    <t xml:space="preserve">Cuatro autores citados por extenso en narrativa (APA 7 exige «et al.» desde la primera cita con tres o más autores)</t>
  </si>
  <si>
    <t xml:space="preserve">Zapata Correa, Durán-Palacio, Rodríguez Gómez y Restrepo Echavarría (2026)</t>
  </si>
  <si>
    <t xml:space="preserve">Datos inconsistentes</t>
  </si>
  <si>
    <t xml:space="preserve">Problema vs. antecedentes</t>
  </si>
  <si>
    <t xml:space="preserve">Cifra de Boczek et al. (2023) distinta entre secciones</t>
  </si>
  <si>
    <t xml:space="preserve">8,2 % (problema, justificación) vs. «8,1 %» (antecedentes)</t>
  </si>
  <si>
    <t xml:space="preserve">Lista de referencias</t>
  </si>
  <si>
    <t xml:space="preserve">Entradas sin volumen, páginas o DOI; sufijos a/b sin que ambas se citen</t>
  </si>
  <si>
    <t xml:space="preserve">Olabe Sánchez (2010) sin DOI; Calvo-Ortega (2020) y Ramon Vegas et al. (2019) sin volumen ni páginas</t>
  </si>
  <si>
    <t xml:space="preserve">Ortografía y redacción</t>
  </si>
  <si>
    <t xml:space="preserve">Objetivos y declaración IA</t>
  </si>
  <si>
    <t xml:space="preserve">Errores de ortografía y de construcción</t>
  </si>
  <si>
    <t xml:space="preserve">«relación de entre»; «genero»; «se utilizo»; «Monografía presentado»</t>
  </si>
  <si>
    <t xml:space="preserve">Restos de plantilla</t>
  </si>
  <si>
    <t xml:space="preserve">Preliminares y Resultados</t>
  </si>
  <si>
    <t xml:space="preserve">Texto instructivo sin retirar</t>
  </si>
  <si>
    <t xml:space="preserve">«Dedicatoria (opcional)»; «Palabras clave: (En cursiva)»; «Indicar la mejor opción de entrega…»; «Figura 1 Título en cursiva»</t>
  </si>
  <si>
    <t xml:space="preserve">Declaración de IA</t>
  </si>
  <si>
    <t xml:space="preserve">Cuerpo y Anexos</t>
  </si>
  <si>
    <t xml:space="preserve">Dos declaraciones con contenido distinto; ninguna indica herramienta, versión ni fecha de uso</t>
  </si>
  <si>
    <t xml:space="preserve">«Para la elaboración… se utilizo inteligencia artificial» / «Uso ético de la inteligencia artificial»</t>
  </si>
  <si>
    <t xml:space="preserve">Marco conceptual</t>
  </si>
  <si>
    <t xml:space="preserve">Autor citado con nombre distinto al de la lista de referencias</t>
  </si>
  <si>
    <t xml:space="preserve">Pedrosa, 2016 (texto) vs. Pedreros (2016) (referencias)</t>
  </si>
  <si>
    <t xml:space="preserve">Problema y antecedentes</t>
  </si>
  <si>
    <t xml:space="preserve">Normativa citada sin referencia propia</t>
  </si>
  <si>
    <t xml:space="preserve">Resolución 639 de 2021 atribuida a «IDRD, s.f.»</t>
  </si>
  <si>
    <t xml:space="preserve">Cita secundaria</t>
  </si>
  <si>
    <t xml:space="preserve">Marco conceptual / Referencias</t>
  </si>
  <si>
    <t xml:space="preserve">Fuente en lista de referencias y, a la vez, citada como secundaria</t>
  </si>
  <si>
    <t xml:space="preserve">Cardona y Padierna (2017) y García y Pradas (2017) «como se citó en» Barahona Vinasco et al. (2023)</t>
  </si>
  <si>
    <t xml:space="preserve">Legislación sin estructura APA 7</t>
  </si>
  <si>
    <t xml:space="preserve">Ley 181 de 1995. Por el cual se dictan… (faltan autor corporativo y año entre paréntesis)</t>
  </si>
  <si>
    <t xml:space="preserve">Faltan DOI/URL o repositorio</t>
  </si>
  <si>
    <t xml:space="preserve">Méndez Álvarez et al. (2024); Pedreros (2016)</t>
  </si>
  <si>
    <t xml:space="preserve">Descripción diferente de la misma fuente</t>
  </si>
  <si>
    <t xml:space="preserve">Pedreros (2016): «trabajo de grado» (problema) vs. «trabajo de posgrado» (antecedentes)</t>
  </si>
  <si>
    <t xml:space="preserve">Duplicación de texto</t>
  </si>
  <si>
    <t xml:space="preserve">Párrafos casi idénticos en dos secciones</t>
  </si>
  <si>
    <t xml:space="preserve">Sarmiento Espiau et al. (2025), Méndez Álvarez et al. (2024) y Barahona Vinasco et al. (2023)</t>
  </si>
  <si>
    <t xml:space="preserve">Introducción</t>
  </si>
  <si>
    <t xml:space="preserve">Errores de concordancia, ortografía y registro oral</t>
  </si>
  <si>
    <t xml:space="preserve">«manejas unas de las principales ofertas»; «vacíos internacionales»; «se en cargan»; «el porque»; «administrados deportivo»; «se organizo»</t>
  </si>
  <si>
    <t xml:space="preserve">Preliminares, Metodología y Resultados</t>
  </si>
  <si>
    <t xml:space="preserve">Instrucciones sin retirar</t>
  </si>
  <si>
    <t xml:space="preserve">«Diseñar una metodología… revisión sistemática»; «Indicar la mejor opción…»; «Figura 1 Título en cursiva»</t>
  </si>
  <si>
    <t xml:space="preserve">Antes de Referencias</t>
  </si>
  <si>
    <t xml:space="preserve">Redacción incompleta; sin versión ni fecha</t>
  </si>
  <si>
    <t xml:space="preserve">«nos guiamos con las inteligencias artificiales como. (Claude,gemini y chat gpt)»</t>
  </si>
  <si>
    <t xml:space="preserve">Introducción, problema y marco</t>
  </si>
  <si>
    <t xml:space="preserve">Paréntesis mal ubicados en citas narrativas y signos de puntuación dentro del paréntesis</t>
  </si>
  <si>
    <t xml:space="preserve">(Fullerton &amp; Merz, 2008) plantean; (Torres et al., 2026), mediante; (Calahorro-López y Ratkai, 2024.); ((Instituto Distrital… [IDRD], 2026)</t>
  </si>
  <si>
    <t xml:space="preserve">Texto y Referencias</t>
  </si>
  <si>
    <t xml:space="preserve">Fuente citada con dos formas de autor y registrada dos veces</t>
  </si>
  <si>
    <t xml:space="preserve">Torres et al. (2026) y Pachau Torres et al. (2026); entradas duplicadas</t>
  </si>
  <si>
    <t xml:space="preserve">Referencias redactadas con el título de la página como autor</t>
  </si>
  <si>
    <t xml:space="preserve">«Vista de Los clubes de fútbol europeos…»; «Artículo | Investigación sobre marketing deportivo…»; «Parque Patio Bonito | IDRD…»; «MetaFlip. (s/f)»</t>
  </si>
  <si>
    <t xml:space="preserve">Marco teórico</t>
  </si>
  <si>
    <t xml:space="preserve">Cita sin referencia</t>
  </si>
  <si>
    <t xml:space="preserve">Gutiérrez Montaña (2008), citada dos veces</t>
  </si>
  <si>
    <t xml:space="preserve">Uso de «s/f» (APA 7: «s. f.»); enlace con parámetro de seguimiento de herramienta de IA; títulos en mayúsculas; autor invertido</t>
  </si>
  <si>
    <t xml:space="preserve">utm_source=chatgpt.com; «INTEGRATION OF MARKETING…»; «Poveda, L. M. M. (s/f)»; «Rodríguez, M. C. S. (2015)»</t>
  </si>
  <si>
    <t xml:space="preserve">Autores repetidos dentro de una misma entrada; volumen mal consignado</t>
  </si>
  <si>
    <t xml:space="preserve">Pachau Torres… (2026) con los tres autores repetidos; «17(XVII, issue I)»</t>
  </si>
  <si>
    <t xml:space="preserve">Introducción y problema</t>
  </si>
  <si>
    <t xml:space="preserve">Unidad territorial denominada de tres maneras</t>
  </si>
  <si>
    <t xml:space="preserve">Patio Bonito como «barrio», «UPZ» y «localidad de Kennedy»</t>
  </si>
  <si>
    <t xml:space="preserve">Preliminares</t>
  </si>
  <si>
    <t xml:space="preserve">Glosario: «Acá van los conceptos…»; Resumen: «Acá va el resumen»; nombre del asesor «Mnedoza»</t>
  </si>
  <si>
    <t xml:space="preserve">Citas sueltas</t>
  </si>
  <si>
    <t xml:space="preserve">Final del marco teórico</t>
  </si>
  <si>
    <t xml:space="preserve">Citas sin enunciado asociado</t>
  </si>
  <si>
    <t xml:space="preserve">«(Informe de Gestión a diciembre | IDRD…, s/f)»; «(Rodríguez, 2015)»</t>
  </si>
  <si>
    <t xml:space="preserve">Entradas duplicadas con sufijos a/b para la misma obra</t>
  </si>
  <si>
    <t xml:space="preserve">Crawford, Jackson y Godbey (1991a, 1991b); Sevil Serrano et al. (2017a, 2017b)</t>
  </si>
  <si>
    <t xml:space="preserve">Lista de autores repetida dentro de la misma entrada</t>
  </si>
  <si>
    <t xml:space="preserve">Franco-Idárraga et al. (2022); Sevil Serrano et al. (2017)</t>
  </si>
  <si>
    <t xml:space="preserve">Orden alfabético roto</t>
  </si>
  <si>
    <t xml:space="preserve">Brown (2024), Ferreira Silva (2022), Mella-Norambuena (2019), Pan (2022), Sim (2026) después de Sevil Serrano</t>
  </si>
  <si>
    <t xml:space="preserve">Tipo de documento en inglés y sin institución</t>
  </si>
  <si>
    <t xml:space="preserve">[Bachelor thesis, Enfermería] en Flórez Saavedra y Herrada Urriago (2021)</t>
  </si>
  <si>
    <t xml:space="preserve">Citas narrativas con paréntesis y ampersand</t>
  </si>
  <si>
    <t xml:space="preserve">«(Crawford et al., 1991) &amp; (Jackson, 1988) quienes plantean»</t>
  </si>
  <si>
    <t xml:space="preserve">Puntuación después de la cita y cita sin punto final</t>
  </si>
  <si>
    <t xml:space="preserve">«…el cumplimiento de la carga académica (…Ramírez-Vélez et al., 2016)» sin punto</t>
  </si>
  <si>
    <t xml:space="preserve">Uso inadecuado de la fuente</t>
  </si>
  <si>
    <t xml:space="preserve">Magnitud del problema</t>
  </si>
  <si>
    <t xml:space="preserve">Dato atribuido a población que no corresponde</t>
  </si>
  <si>
    <t xml:space="preserve">60 %–80 % «de la población universitaria en Colombia» atribuido a Sevil Serrano et al. (2017) (autores españoles; el resumen no indica muestra colombiana); Franco-Idárraga et al. (2022) corresponde a Manizales</t>
  </si>
  <si>
    <t xml:space="preserve">Afirmación empírica sin soporte en las fuentes citadas</t>
  </si>
  <si>
    <t xml:space="preserve">«el factor que con mayor frecuencia genera inasistencias o derrotas por W (Franco-Idárraga…; Ramírez-Vélez…)»</t>
  </si>
  <si>
    <t xml:space="preserve">Preliminares, Problema, Metodología</t>
  </si>
  <si>
    <t xml:space="preserve">Guion de preguntas y texto instructivo sin redactar</t>
  </si>
  <si>
    <t xml:space="preserve">«¿Qué?:», «¿En quienes?:», «Diseñar una metodología… revisión sistemática»</t>
  </si>
  <si>
    <t xml:space="preserve">Portada y texto</t>
  </si>
  <si>
    <t xml:space="preserve">Errores de escritura y registro</t>
  </si>
  <si>
    <t xml:space="preserve">«Kildeman»; «Figeroa»; «Monografía presentado… título de en»; «por w»; primera persona plural</t>
  </si>
  <si>
    <t xml:space="preserve">No identifica herramienta, versión ni fecha de uso</t>
  </si>
  <si>
    <t xml:space="preserve">«herramientas de Inteligencia Artificial Generativa (IAG)»</t>
  </si>
  <si>
    <t xml:space="preserve">Seis fuentes citadas sin referencia</t>
  </si>
  <si>
    <t xml:space="preserve">FIFA (2023a, 2023b); UEFA (2019); DIMAYOR (2026); Federación Colombiana de Fútbol (2025); Ministerio del Deporte (2025)</t>
  </si>
  <si>
    <t xml:space="preserve">Todo el documento</t>
  </si>
  <si>
    <t xml:space="preserve">Nombre del autor distinto al de la lista</t>
  </si>
  <si>
    <t xml:space="preserve">«Clavijo Silva y Vidal Cañas (2021)» vs. «Clavijo Vidal, A. C., &amp; Vidal Cañas, W.»; «Martinez Mina, 2025»</t>
  </si>
  <si>
    <t xml:space="preserve">Marco teórico y antecedentes</t>
  </si>
  <si>
    <t xml:space="preserve">Paréntesis alrededor de citas narrativas</t>
  </si>
  <si>
    <t xml:space="preserve">«(Martínez Mina et al., 2019) y (Clavijo Vidal &amp; Vidal Cañas, 2021) señalan»; «el trabajo de (Cabrera Camacho &amp; Hortúa Calderón, 2021)»</t>
  </si>
  <si>
    <t xml:space="preserve">Entradas sin autor y sin enlace</t>
  </si>
  <si>
    <t xml:space="preserve">«Liga de Dinero del Fútbol Deloitte 2026. (s/f).»; «REGLAMENTO-LIGA-FEMENINA-2026. (s/f).»</t>
  </si>
  <si>
    <t xml:space="preserve">Título en mayúsculas y errores ortográficos en títulos de trabajos de grado</t>
  </si>
  <si>
    <t xml:space="preserve">«MUJERES, MEMORIAS Y FÚTBOL…»; «Desarollo e implementacion… futbol»</t>
  </si>
  <si>
    <t xml:space="preserve">Estadística atribuida a una fuente que no la produce</t>
  </si>
  <si>
    <t xml:space="preserve">«menos del 15 %» de transmisiones atribuido a un reglamento de competencia; «más del 70 % de las marcas…» sin referencia a la tabla o página del trabajo de grado</t>
  </si>
  <si>
    <t xml:space="preserve">Originalidad</t>
  </si>
  <si>
    <t xml:space="preserve">Portada</t>
  </si>
  <si>
    <t xml:space="preserve">Título casi idéntico al de una fuente citada</t>
  </si>
  <si>
    <t xml:space="preserve">«Desarrollo e implementación del marketing deportivo en el fútbol colombiano: una narrativa de la realidad» vs. Clavijo Vidal y Vidal Cañas (2021), «…en el fútbol femenino colombiano: una narrativa de la realidad»</t>
  </si>
  <si>
    <t xml:space="preserve">Pregunta, justificación y plantilla</t>
  </si>
  <si>
    <t xml:space="preserve">Población y periodo definidos de manera distinta</t>
  </si>
  <si>
    <t xml:space="preserve">«estudiantes femeninas» (¿En quiénes?) vs. estudiantes del proyecto curricular (pregunta) vs. «experiencias de las jugadoras» (justificación); 2020-2026 vs. 2026-3</t>
  </si>
  <si>
    <t xml:space="preserve">Redacción</t>
  </si>
  <si>
    <t xml:space="preserve">Qué consecuencias tiene</t>
  </si>
  <si>
    <t xml:space="preserve">Fragmentos, minúsculas, primera persona</t>
  </si>
  <si>
    <t xml:space="preserve">«a nivel académico vemos…»; «bosa porvenir»; «analizamos»; «economía en los clubes»</t>
  </si>
  <si>
    <t xml:space="preserve">Guion de preguntas e instrucciones sin retirar</t>
  </si>
  <si>
    <t xml:space="preserve">Anexos</t>
  </si>
  <si>
    <t xml:space="preserve">Sin herramienta, versión ni fecha de uso</t>
  </si>
  <si>
    <t xml:space="preserve">«se utilizó inteligencia artificial como herramienta de apoyo»</t>
  </si>
  <si>
    <t xml:space="preserve">Internacional</t>
  </si>
  <si>
    <t xml:space="preserve">Puntuación y mayúscula tras cita narrativa</t>
  </si>
  <si>
    <t xml:space="preserve">«(Do &amp; Dang, 2026), Aunque ese estudio…»</t>
  </si>
  <si>
    <t xml:space="preserve">Uso mixto de «y» y «&amp;» según la posición de la cita</t>
  </si>
  <si>
    <t xml:space="preserve">«Sun y Pan (2023)» vs. «(Kim &amp; Kim, 1995; Parasuraman et al., 1988)»</t>
  </si>
  <si>
    <t xml:space="preserve">Falta DOI o enlace</t>
  </si>
  <si>
    <t xml:space="preserve">Parasuraman, Zeithaml y Berry (1988), Journal of Retailing</t>
  </si>
  <si>
    <t xml:space="preserve">Datos / formato numérico</t>
  </si>
  <si>
    <t xml:space="preserve">Formato inconsistente de porcentajes</t>
  </si>
  <si>
    <t xml:space="preserve">«55.6%» y «55.6 %»</t>
  </si>
  <si>
    <t xml:space="preserve">Resumen, Abstract, Declaración de IA</t>
  </si>
  <si>
    <t xml:space="preserve">Marcas de trabajo sin resolver</t>
  </si>
  <si>
    <t xml:space="preserve">«[COMPLETAR al terminar el Capítulo 4…]»; «[CONFIRMAR…]»; «Firma de los integrantes: [firmas] Fecha: [fecha]»</t>
  </si>
  <si>
    <t xml:space="preserve">Contenido ajeno al grado</t>
  </si>
  <si>
    <t xml:space="preserve">Anexo G</t>
  </si>
  <si>
    <t xml:space="preserve">Prompt reutilizable incluido como anexo</t>
  </si>
  <si>
    <t xml:space="preserve">«Anexo G. Prompt reutilizable para el Capítulo 3»</t>
  </si>
  <si>
    <t xml:space="preserve">Ortografía y portada</t>
  </si>
  <si>
    <t xml:space="preserve">Errores de redacción y de denominación</t>
  </si>
  <si>
    <t xml:space="preserve">«Monografía presentado»; «Centro Universitario Distrital Francisco José de Caldas»</t>
  </si>
  <si>
    <t xml:space="preserve">Declaración completa (herramienta, modelos, fechas, propósito y prompts) pero que indica uso de IA en la redacción de los capítulos 3 a 5, el resumen y el abstract; verificar autoría y comprensión del grupo en la sustentación</t>
  </si>
  <si>
    <t xml:space="preserve">Claude; Sonnet 4.6 y Sonnet 5.5; 20/09 a 18/10/2026</t>
  </si>
  <si>
    <t xml:space="preserve">Introducción y antecedentes</t>
  </si>
  <si>
    <t xml:space="preserve">Cinco fuentes citadas sin referencia</t>
  </si>
  <si>
    <t xml:space="preserve">Bartual Figueras et al. (2022); Donoso Pérez et al. (2023); Iregui-Bohórquez et al. (2026); Oviedo Oviedo et al. (2024); UD (2026b)</t>
  </si>
  <si>
    <t xml:space="preserve">Referencias sin citar en el texto</t>
  </si>
  <si>
    <t xml:space="preserve">Asamblea General de las Naciones Unidas (2015); Hernández-Sampieri y Mendoza Torres (2018)</t>
  </si>
  <si>
    <t xml:space="preserve">Cinco entradas duplicadas fuera de orden alfabético</t>
  </si>
  <si>
    <t xml:space="preserve">Grappendorf y Burton (2016); Harris et al. (2014); Jacobs (1996); Sallee (2011); Steele et al. (2002)</t>
  </si>
  <si>
    <t xml:space="preserve">Conector de autores mixto («y» / «&amp;»)</t>
  </si>
  <si>
    <t xml:space="preserve">Pardo Calvache, …, y Suescún Monsalve (2024) vs. Harris, …, &amp; Aicher (2014)</t>
  </si>
  <si>
    <t xml:space="preserve">Leyes y fuente institucional sin enlace o con sitio de alojamiento no oficial</t>
  </si>
  <si>
    <t xml:space="preserve">Ley 581 de 2000; Ley 2424 de 2024; comunicado del Ministerio del Deporte en as00.epimg.net</t>
  </si>
  <si>
    <t xml:space="preserve">Uso de la fuente</t>
  </si>
  <si>
    <t xml:space="preserve">Referencia teórica</t>
  </si>
  <si>
    <t xml:space="preserve">Teoría atribuida a estudio aplicado sin su fuente original</t>
  </si>
  <si>
    <t xml:space="preserve">Teoría de roles sociales a través de Grappendorf y Burton (2016)</t>
  </si>
  <si>
    <t xml:space="preserve">Fragmento sin verbo principal</t>
  </si>
  <si>
    <t xml:space="preserve">«Estudiar cómo perciben la desigualdad de género las estudiantes del programa permitiendo conocer…»</t>
  </si>
  <si>
    <t xml:space="preserve">Notas internas y metacomentarios</t>
  </si>
  <si>
    <t xml:space="preserve">Objetivos y Justificación</t>
  </si>
  <si>
    <t xml:space="preserve">Texto de trabajo dentro del documento final</t>
  </si>
  <si>
    <t xml:space="preserve">«Cada objetivo usa un solo verbo… (Tamayo y Tamayo, 2004)»; «Falta confirmar con la coordinación…»; «anteproyecto»; «el autor»</t>
  </si>
  <si>
    <t xml:space="preserve">Primera persona del singular en un trabajo de tres autores; sin modelo ni fechas; con campo opcional sin resolver</t>
  </si>
  <si>
    <t xml:space="preserve">«utilicé Claude (Anthropic)…»; «[opcional: …]»</t>
  </si>
  <si>
    <t xml:space="preserve">Dos fuentes del mismo autor y año sin sufijo</t>
  </si>
  <si>
    <t xml:space="preserve">Ministerio del Deporte (2023, 23 de mayo) y (2023, agosto); citadas como «Ministerio del Deporte, 2023»</t>
  </si>
  <si>
    <t xml:space="preserve">Contexto regional</t>
  </si>
  <si>
    <t xml:space="preserve">Fuentes con sufijo en la lista citadas sin sufijo</t>
  </si>
  <si>
    <t xml:space="preserve">FIBA (2025a, 2025b) citadas como «FIBA, 2025»</t>
  </si>
  <si>
    <t xml:space="preserve">Autor corporativo con variantes</t>
  </si>
  <si>
    <t xml:space="preserve">«Ministerio del Deporte» y «El Ministerio del Deporte»</t>
  </si>
  <si>
    <t xml:space="preserve">Referencia sin cita en el texto</t>
  </si>
  <si>
    <t xml:space="preserve">Ley 181 de 1995</t>
  </si>
  <si>
    <t xml:space="preserve">Artículos académicos enlazados a ResearchGate en lugar de DOI o sitio de la revista</t>
  </si>
  <si>
    <t xml:space="preserve">Szymanski (2003); Cornwell (1995)</t>
  </si>
  <si>
    <t xml:space="preserve">Descripción del problema y Justificación</t>
  </si>
  <si>
    <t xml:space="preserve">Dato atribuido a una fuente periodística cuyo título no corresponde al contenido y reinterpretación entre secciones</t>
  </si>
  <si>
    <t xml:space="preserve">1.274 contratos de futbolistas (Vorágine, 2024) vs. «46 % de las futbolistas contratadas en 2023»</t>
  </si>
  <si>
    <t xml:space="preserve">Calidad de fuentes</t>
  </si>
  <si>
    <t xml:space="preserve">Predominio de prensa y comunicados como evidencia de magnitud</t>
  </si>
  <si>
    <t xml:space="preserve">Semana, Infobae, Vanguardia, Vorágine, ESPN, Claro Sports</t>
  </si>
  <si>
    <t xml:space="preserve">Extensión y redacción</t>
  </si>
  <si>
    <t xml:space="preserve">Detalle accesorio que excede la función del apartado</t>
  </si>
  <si>
    <t xml:space="preserve">Marcador de la final de 2023; trayectoria de una jugadora de la selección</t>
  </si>
  <si>
    <t xml:space="preserve">Documento completo</t>
  </si>
  <si>
    <t xml:space="preserve">Ausencia de declaración de uso de IA; la IA solo se menciona en notas de tablas</t>
  </si>
  <si>
    <t xml:space="preserve">«Elaboración con ayuda de inteligencia artificial (IA) a partir de Deloitte (2025)»</t>
  </si>
  <si>
    <t xml:space="preserve">Autor incorrecto (nombre de pila usado como apellido)</t>
  </si>
  <si>
    <t xml:space="preserve">«Riina et al., 2022» en lugar de Vuorikari, Kluzer y Punie (2022); entrada «Riina, V., Stefano, K., &amp; Yves, P.»</t>
  </si>
  <si>
    <t xml:space="preserve">Falta de espacio antes del paréntesis</t>
  </si>
  <si>
    <t xml:space="preserve">«tácticos(Castro et al., 2019)»; «planteles(Castro et al., 2019)»</t>
  </si>
  <si>
    <t xml:space="preserve">Antecedentes</t>
  </si>
  <si>
    <t xml:space="preserve">Cita narrativa entre paréntesis</t>
  </si>
  <si>
    <t xml:space="preserve">«(Moya Delgado, 2025) desarrolló…»; «(Ati et al., 2024) analizaron…»</t>
  </si>
  <si>
    <t xml:space="preserve">Título de la página usado como autor</t>
  </si>
  <si>
    <t xml:space="preserve">«Generalidades | Administración Deportiva. (s. f.)»; «Misión | Administración Deportiva. (s. f.)»; «Sistema Nacional del Deporte. (s. f.)»</t>
  </si>
  <si>
    <t xml:space="preserve">Entrada corrupta generada por herramienta automática</t>
  </si>
  <si>
    <t xml:space="preserve">«June 1, E. date, June 1, 2003 with amendments effective, 2010, January 1, &amp; reserved, 2017 Copyright © 2017…»</t>
  </si>
  <si>
    <t xml:space="preserve">Fuente no oficial para una ley</t>
  </si>
  <si>
    <t xml:space="preserve">Ley 181 de 1995 — Scribd</t>
  </si>
  <si>
    <t xml:space="preserve">Autores y formato con errores</t>
  </si>
  <si>
    <t xml:space="preserve">Galicia Alarcón duplica el autor; «Goes, F. r., Meerhoff, L. a.»; «(1.^(a) ed.)»; Márquez et al. (s. f.) con título en mayúsculas y sin editorial; Rico-González et al. (2022), Biology of Sport 40(1) corresponde a 2023</t>
  </si>
  <si>
    <t xml:space="preserve">Hallazgos sobredimensionados y generalización</t>
  </si>
  <si>
    <t xml:space="preserve">«minimiza casi en su totalidad el margen de error humano»; «en la ciudad de Bogotá los clubes profesionales ya emplean tecnología»</t>
  </si>
  <si>
    <t xml:space="preserve">Estudio colombiano de un club citado como evidencia internacional</t>
  </si>
  <si>
    <t xml:space="preserve">Castro et al. (2019) en «Nivel internacional» y «Nacional»</t>
  </si>
  <si>
    <t xml:space="preserve">Oraciones telegráficas, léxico coloquial</t>
  </si>
  <si>
    <t xml:space="preserve">«Para arreglar esto, este estudio quiere saber…»; «Quieren saber el potencial…»</t>
  </si>
  <si>
    <t xml:space="preserve">Portada y plantilla</t>
  </si>
  <si>
    <t xml:space="preserve">Portada y capítulo final</t>
  </si>
  <si>
    <t xml:space="preserve">Título de grado erróneo e instrucciones de plantilla</t>
  </si>
  <si>
    <t xml:space="preserve">«Licenciado en Educación Infantil»; «Buscar y analizar solo revisiones sistemáticas…»; «Diseñar una metodología… revisión sistemática»</t>
  </si>
  <si>
    <t xml:space="preserve">Sección vacía</t>
  </si>
  <si>
    <t xml:space="preserve">Encabezado «Declaración de uso de IA» sin texto</t>
  </si>
  <si>
    <t xml:space="preserve">Un autor citado con verbo en plural; la fuente tiene tres autores</t>
  </si>
  <si>
    <t xml:space="preserve">«(Cabrera-Duffaut, 2024) desarrollaron…» (Cabrera-Duffaut, Pinto-Llorente e Iglesias-Rodríguez, 2024)</t>
  </si>
  <si>
    <t xml:space="preserve">«(Putranto et al., 2023) realizaron…»; «(Kolb, 1984) plantea…»; «(Davis, 1989)»</t>
  </si>
  <si>
    <t xml:space="preserve">Antecedentes nacionales y locales</t>
  </si>
  <si>
    <t xml:space="preserve">Cita sin referencia por autor y año</t>
  </si>
  <si>
    <t xml:space="preserve">Salgado García y Fernández Gualteros (2024) registrada como «Realidad Virtual en la Universidad EAN…»</t>
  </si>
  <si>
    <t xml:space="preserve">Entrada duplicada y lista dividida en dos bloques alfabéticos</t>
  </si>
  <si>
    <t xml:space="preserve">Putranto et al. (2023) dos veces; segundo bloque de Agurto-Cabrera a Stracke</t>
  </si>
  <si>
    <t xml:space="preserve">Título de la página como autor y enlaces con parámetro de herramienta de IA</t>
  </si>
  <si>
    <t xml:space="preserve">«Primer piloto de educación digital en 5G…»; «?utm_source=chatgpt.com»</t>
  </si>
  <si>
    <t xml:space="preserve">Autoría incompleta y título con residuos de la página</t>
  </si>
  <si>
    <t xml:space="preserve">Cabrera-Duffaut, A. (2024). Frontiers | Immersive learning platforms…</t>
  </si>
  <si>
    <t xml:space="preserve">Fuentes locales</t>
  </si>
  <si>
    <t xml:space="preserve">Antecedentes locales</t>
  </si>
  <si>
    <t xml:space="preserve">Antecedentes sin cita ni referencia</t>
  </si>
  <si>
    <t xml:space="preserve">«dentro del repositorio… otros trabajos relacionados con la realidad virtual»; «saneamiento ambiental»</t>
  </si>
  <si>
    <t xml:space="preserve">Marco teórico / Anexos</t>
  </si>
  <si>
    <t xml:space="preserve">Frase única entre comillas; sección de anexo vacía; sin versión ni fecha</t>
  </si>
  <si>
    <t xml:space="preserve">«Se utilizó ChatGPT para organizar las ideas del desarrollo de este trabajo escrito»; «Uso ético y transparente de la IA»</t>
  </si>
  <si>
    <t xml:space="preserve">Dedicatoria con redacción idéntica a la de otro trabajo del curso (G8)</t>
  </si>
  <si>
    <t xml:space="preserve">«Dedicamos este proyecto, en primer lugar, a nuestras familias…»</t>
  </si>
  <si>
    <t xml:space="preserve">Tres referencias no citadas</t>
  </si>
  <si>
    <t xml:space="preserve">Cao y Matsuoka (2025); Einsle et al. (2023); Rai et al. (2025)</t>
  </si>
  <si>
    <t xml:space="preserve">Introducción vs. problema/antecedentes</t>
  </si>
  <si>
    <t xml:space="preserve">Año distinto para la misma cita</t>
  </si>
  <si>
    <t xml:space="preserve">Romero-Jara et al. (2023) en la Introducción vs. (2024) en el problema y antecedentes; los dos trabajos figuran en la lista</t>
  </si>
  <si>
    <t xml:space="preserve">Problema internacional</t>
  </si>
  <si>
    <t xml:space="preserve">Atribución mezclada a una sola fuente</t>
  </si>
  <si>
    <t xml:space="preserve">«Romero-Jara et al. (2024) han comparado… algunos de los principales clubes del mundo» (descripción que corresponde al trabajo de 2023, que analiza clubes; el de 2024 analiza ligas)</t>
  </si>
  <si>
    <t xml:space="preserve">Verbo de cita</t>
  </si>
  <si>
    <t xml:space="preserve">Verbo categórico para un estudio descriptivo</t>
  </si>
  <si>
    <t xml:space="preserve">«Aichner (2019) demuestra que los clubes utilizan diferentes plataformas»</t>
  </si>
  <si>
    <t xml:space="preserve">Fuentes sin respaldo</t>
  </si>
  <si>
    <t xml:space="preserve">Descripción del problema (nacional y local) y Justificación</t>
  </si>
  <si>
    <t xml:space="preserve">Afirmaciones empíricas sin cita</t>
  </si>
  <si>
    <t xml:space="preserve">«la producción académica nacional… continúa siendo limitada»; «con diferencias visibles en la frecuencia de publicación»</t>
  </si>
  <si>
    <t xml:space="preserve">Delimitación, Metodología y Resultados</t>
  </si>
  <si>
    <t xml:space="preserve">«¿Qué?:», «¿En quiénes?:»; «En el trabajo se debe indicar cuáles clubes serán incluidos y cuántas publicaciones se analizarán»; «Indicar la mejor opción de entrega…»</t>
  </si>
  <si>
    <t xml:space="preserve">Lenguaje de proceso interno en el texto final</t>
  </si>
  <si>
    <t xml:space="preserve">«La propuesta parte de una lluvia de ideas, y busca seleccionar un problema que sea relevante, viable…»</t>
  </si>
  <si>
    <t xml:space="preserve">Encabezado vacío en el cuerpo; texto genérico en Anexos sin herramienta, versión ni fecha</t>
  </si>
  <si>
    <t xml:space="preserve">Coherencia interna entre componentes</t>
  </si>
  <si>
    <t xml:space="preserve">Cada vínculo se codifica 0 = no coherente, 1 = coherencia parcial, 2 = coherente (celdas azules = juicio del evaluador, editable).</t>
  </si>
  <si>
    <t xml:space="preserve">Vínculo</t>
  </si>
  <si>
    <t xml:space="preserve">% de grupos con coherencia plena</t>
  </si>
  <si>
    <t xml:space="preserve">Problema ↔ Pregunta problema</t>
  </si>
  <si>
    <t xml:space="preserve">Pregunta problema ↔ Objetivo general</t>
  </si>
  <si>
    <t xml:space="preserve">Objetivo general ↔ Objetivos específicos</t>
  </si>
  <si>
    <t xml:space="preserve">Justificación ↔ Objetivo general / pregunta</t>
  </si>
  <si>
    <t xml:space="preserve">Antecedentes y marco teórico ↔ pregunta, objetivos y metodología</t>
  </si>
  <si>
    <t xml:space="preserve">Índice de coherencia del grupo (0 – 100 %)</t>
  </si>
  <si>
    <t xml:space="preserve">Observaciones por vínculo y grupo</t>
  </si>
  <si>
    <t xml:space="preserve">Observación</t>
  </si>
  <si>
    <t xml:space="preserve">La pregunta retoma la población y el fenómeno del problema (percepción de estudiantes), pero añade una cláusula ajena: «como referente para la gestión de comunicaciones institucionales de clubes deportivos».</t>
  </si>
  <si>
    <t xml:space="preserve">La pregunta indaga percepciones de estudiantes; el objetivo general analiza la relación entre comunicación institucional de clubes y desigualdad expresada en medios. Son dos objetos de estudio distintos.</t>
  </si>
  <si>
    <t xml:space="preserve">Los tres específicos derivan del general (estrategias, representación, comparación), pero ninguno recoge la percepción de estudiantes, que es el eje del problema y la pregunta.</t>
  </si>
  <si>
    <t xml:space="preserve">La justificación argumenta sobre la percepción de estudiantes; no sustenta el análisis de contenido de publicaciones de clubes que propone el objetivo general.</t>
  </si>
  <si>
    <t xml:space="preserve">El marco teórico (representaciones sociales de los estudiantes) corresponde a la pregunta; la metodología (análisis de contenido de publicaciones) corresponde al objetivo general. Las dos mitades del documento no se corresponden.</t>
  </si>
  <si>
    <t xml:space="preserve">El problema documenta la ausencia de una delimitación de las funciones del administrador deportivo (vacío descriptivo); la pregunta pasa a «cómo fortalecer la gestión», es decir, a una intervención no sustentada en el planteamiento.</t>
  </si>
  <si>
    <t xml:space="preserve">La pregunta y el objetivo general coinciden en contexto, periodo y propósito (fortalecer la gestión del desempeño del administrador).</t>
  </si>
  <si>
    <t xml:space="preserve">OE1 (describir) y OE2 (estructurar estrategia) derivan del general; OE3 (evaluar la aplicación de la estrategia) exige implementarla, lo que excede el objetivo general («diseñar») y el tiempo de una monografía.</t>
  </si>
  <si>
    <t xml:space="preserve">La justificación (visibilizar y delimitar el perfil del administrador) responde al problema descriptivo, no al diseño de una estrategia de dirección.</t>
  </si>
  <si>
    <t xml:space="preserve">La Introducción anuncia enfoque cualitativo con entrevistas y encuestas; la sección Metodología conserva la instrucción de plantilla sobre revisión sistemática; el marco teórico no desarrolla el «modelo de gestión estratégica» que exige el objetivo general.</t>
  </si>
  <si>
    <t xml:space="preserve">La pregunta recoge el vacío del problema (estrategias de marketing, sostenibilidad financiera, condiciones socioeconómicas, Patio Bonito, 2026).</t>
  </si>
  <si>
    <t xml:space="preserve">Pregunta y objetivo general son equivalentes en objeto, delimitación espacial y temporal.</t>
  </si>
  <si>
    <t xml:space="preserve">OE1 y OE2 derivan del general; OE3 (proponer lineamientos) excede el verbo «caracterizar» y el alcance descriptivo. OE2 plantea «analizar la relación», mientras el texto aclara que no se asumirá relación causal.</t>
  </si>
  <si>
    <t xml:space="preserve">La justificación desarrolla las dimensiones académica, social y práctica y se ancla en el territorio de la pregunta.</t>
  </si>
  <si>
    <t xml:space="preserve">Antecedentes y brecha corresponden al objeto de estudio, pero el marco teórico solo ofrece definiciones breves; «crecimiento institucional» aparece en el marco y en la brecha, no en la pregunta ni en los objetivos.</t>
  </si>
  <si>
    <t xml:space="preserve">La pregunta traduce el problema (barreras de horarios, infraestructura, convocatorias e inscripción) con población, lugar y periodo. La lista de barreras ya viene presupuesta en el problema.</t>
  </si>
  <si>
    <t xml:space="preserve">Pregunta y objetivo general coinciden palabra por palabra en población, lugar, periodo y dimensiones.</t>
  </si>
  <si>
    <t xml:space="preserve">OE1 a OE3 son consecutivos y medibles, pero OE3 (jerarquizar) reitera el objetivo general y OE4 (proponer estrategias) excede el verbo «determinar».</t>
  </si>
  <si>
    <t xml:space="preserve">La justificación enlaza la población, la sede y la utilidad para la coordinación del torneo.</t>
  </si>
  <si>
    <t xml:space="preserve">El marco teórico (restricciones del ocio) y las cuatro subdimensiones corresponden a la pregunta; los antecedentes no incluyen estudios sobre torneos o deporte universitario ni evidencia colombiana; la subdimensión «equipamiento» no figura en la pregunta.</t>
  </si>
  <si>
    <t xml:space="preserve">El problema trata del marketing y la visibilidad del fútbol femenino profesional (jugadoras, clubes, patrocinio); la pregunta indaga la percepción de estudiantes de Administración Deportiva.</t>
  </si>
  <si>
    <t xml:space="preserve">La pregunta y el objetivo general son equivalentes en población, objeto y periodo.</t>
  </si>
  <si>
    <t xml:space="preserve">OE1 y OE2 desarrollan la percepción; OE3 introduce la «sostenibilidad profesional» (variable ausente en la pregunta) y OE4 es propositivo y está mal redactado («proponer estrategias… y potenciar»).</t>
  </si>
  <si>
    <t xml:space="preserve">La justificación se refiere a «las experiencias de las jugadoras» y a un periodo 2020-2026, mientras que la pregunta alude a las estudiantes y al periodo 2026-3.</t>
  </si>
  <si>
    <t xml:space="preserve">No hay marco teórico ni conceptual; los antecedentes no incluyen síntesis; la sección Metodología conserva la instrucción de plantilla sobre revisión sistemática, mientras que el título («narrativa») y la Introducción apuntan a experiencias de jugadoras.</t>
  </si>
  <si>
    <t xml:space="preserve">La pregunta traduce el vacío formulado en el problema (relación entre calidad percibida e intención de continuar) con población, lugar y periodo.</t>
  </si>
  <si>
    <t xml:space="preserve">La pregunta y el objetivo general coinciden en variables, población y periodo; el verbo «analizar cuantitativamente la relación» corresponde al alcance correlacional.</t>
  </si>
  <si>
    <t xml:space="preserve">Los cuatro específicos cubren el general (caracterizar, describir, establecer relación, comparar), pero OE3 y OE4 incorporan en el enunciado las pruebas estadísticas y OE4 depende de un tamaño de subgrupo que la meta de 85 respuestas no garantiza.</t>
  </si>
  <si>
    <t xml:space="preserve">La justificación enuncia la utilidad para la administración del gimnasio, pero no usa el vacío identificado ni argumenta la contribución al conocimiento; solo cita dos fuentes.</t>
  </si>
  <si>
    <t xml:space="preserve">Antecedentes, SERVQUAL/SERVPERF, QUESC, teoría del comportamiento planificado e hipótesis corresponden a las dos variables y a la metodología cuantitativa descritas.</t>
  </si>
  <si>
    <t xml:space="preserve">La pregunta recoge la falta de evidencia sobre cómo perciben las estudiantes de Administración Deportiva (sede Bosa Porvenir) la desigualdad en su trayectoria, tal como la formula el problema.</t>
  </si>
  <si>
    <t xml:space="preserve">La pregunta y el objetivo general mantienen sujetos, objeto, comparación y periodo.</t>
  </si>
  <si>
    <t xml:space="preserve">Los tres específicos (identificar, describir, comparar) derivan del general y se pueden verificar con una encuesta.</t>
  </si>
  <si>
    <t xml:space="preserve">La justificación declara valor teórico, utilidad metodológica y viabilidad, y se vincula con la línea base que persigue el estudio.</t>
  </si>
  <si>
    <t xml:space="preserve">Antecedentes y teoría respaldan el tema, pero el primer párrafo de la Referencia teórica enuncia otro objeto (desigualdad en el ingreso y la permanencia en 2026, sede Bosa) y la teoría de roles sociales se atribuye a una fuente secundaria.</t>
  </si>
  <si>
    <t xml:space="preserve">La pregunta traduce el vacío del problema (ausencia de información económica sistematizada) y delimita variables, disciplina y periodo.</t>
  </si>
  <si>
    <t xml:space="preserve">La pregunta y el objetivo general coinciden en las tres variables y el periodo 2022-2025.</t>
  </si>
  <si>
    <t xml:space="preserve">Los cuatro específicos recorren el procedimiento (identificar certámenes, caracterizar ingresos y presupuestos, describir salarios, comparar), pero el OE1 es un paso previo y el OE4 amplía el alcance a la rama masculina y a tendencias internacionales sin estar en el general.</t>
  </si>
  <si>
    <t xml:space="preserve">La justificación (teórica, social, práctica, disciplinar, viabilidad) se vincula al vacío y a las tres variables.</t>
  </si>
  <si>
    <t xml:space="preserve">Economía del deporte y teoría del patrocinio, más tres conceptos operativos, sustentan las variables de la pregunta; la síntesis del marco las relaciona con ella.</t>
  </si>
  <si>
    <t xml:space="preserve">La pregunta recoge la necesidad de conocer la percepción de los estudiantes de tercer semestre, formulada en el contexto específico del problema.</t>
  </si>
  <si>
    <t xml:space="preserve">La pregunta indaga la percepción del potencial de las herramientas; el objetivo general añade conocimiento, interés, valoración y relación con competencias de formación, lo que amplía el alcance.</t>
  </si>
  <si>
    <t xml:space="preserve">Los tres específicos (identificar conocimiento, describir percepción, determinar relación con la formación) derivan del general, pero cada uno incorpora varios constructos y propósitos secundarios («con el propósito de…»).</t>
  </si>
  <si>
    <t xml:space="preserve">La justificación enuncia la utilidad curricular y la escasez de estudios, pero sin ninguna fuente que la respalde.</t>
  </si>
  <si>
    <t xml:space="preserve">El marco teórico trata tecnología y apropiación tecnológica y el contexto institucional; los antecedentes cubren herramientas de análisis y no percepción estudiantil, y la metodología extensa de otro capítulo contradice la instrucción de revisión sistemática que permanece en la plantilla.</t>
  </si>
  <si>
    <t xml:space="preserve">La pregunta recoge el vacío del apartado «Local» (ausencia de evidencia sobre la percepción de estudiantes de Administración Deportiva frente a la realidad virtual).</t>
  </si>
  <si>
    <t xml:space="preserve">La pregunta y el objetivo general mantienen el objeto, la población, las competencias del perfil de egreso y el periodo; el objetivo agrega la sede Bosa Porvenir.</t>
  </si>
  <si>
    <t xml:space="preserve">Los tres específicos (conocimiento y familiaridad, aplicaciones pertinentes, beneficios y limitaciones) desarrollan el objetivo general en orden lógico.</t>
  </si>
  <si>
    <t xml:space="preserve">La justificación se apoya en literatura sobre realidad virtual en educación superior, pero no explicita el beneficio concreto para el programa ni la viabilidad.</t>
  </si>
  <si>
    <t xml:space="preserve">Aprendizaje experiencial y TAM sustentan la percepción de utilidad y facilidad de uso; los antecedentes abarcan realidad virtual en educación superior y deporte.</t>
  </si>
  <si>
    <t xml:space="preserve">La pregunta (relación entre frecuencia, formato y engagement) es más específica que el problema, que no formula una situación ni cita datos; la frecuencia y el formato aparecen solo en la «Delimitación del tema».</t>
  </si>
  <si>
    <t xml:space="preserve">Pregunta y objetivo general son equivalentes en variables, escenario (Instagram), unidad (clubes del FPC) y periodo.</t>
  </si>
  <si>
    <t xml:space="preserve">Los seis objetivos específicos recorren el procedimiento (identificar, clasificar, calcular, analizar, comparar, interpretar) y no resultados de conocimiento; el sexto no es un objetivo.</t>
  </si>
  <si>
    <t xml:space="preserve">La justificación enuncia cuatro dimensiones (pertinencia, social, académica, práctica), pero no cita ninguna fuente y su último párrafo es metodológico.</t>
  </si>
  <si>
    <t xml:space="preserve">El marco teórico (marketing relacional, usos y gratificaciones, engagement, frecuencia y formato) corresponde a las tres variables y a la metodología cuantitativa descritas.</t>
  </si>
  <si>
    <t xml:space="preserve">Resumen por grupo</t>
  </si>
  <si>
    <t xml:space="preserve">Nota total, nivel, indicadores de calidad documental, fortalezas y recomendaciones de ajuste.</t>
  </si>
  <si>
    <t xml:space="preserve">Título del trabajo</t>
  </si>
  <si>
    <t xml:space="preserve">Archivo evaluado</t>
  </si>
  <si>
    <t xml:space="preserve">Ítems por debajo del umbral (de 8)</t>
  </si>
  <si>
    <t xml:space="preserve">Coherencia interna</t>
  </si>
  <si>
    <t xml:space="preserve">Hallazgos APA / redacción</t>
  </si>
  <si>
    <t xml:space="preserve">De gravedad alta</t>
  </si>
  <si>
    <t xml:space="preserve">Fortalezas</t>
  </si>
  <si>
    <t xml:space="preserve">Recomendaciones de ajuste</t>
  </si>
  <si>
    <t xml:space="preserve">Percepción de la igualdad de género en el periodismo deportivo colombiano desde la perspectiva de estudiantes de Administración Deportiva</t>
  </si>
  <si>
    <t xml:space="preserve">G1_MI_CAP1_CAP2_V2.docx</t>
  </si>
  <si>
    <t xml:space="preserve">Población y fenómeno bien delimitados en el problema; antecedentes con estructura reconocible; fuentes indexadas; reconocimiento explícito de la limitación de generalización.</t>
  </si>
  <si>
    <t xml:space="preserve">1) Decidir un único objeto de estudio (percepción de estudiantes o análisis de contenido) y reescribir pregunta, objetivos, justificación, marco teórico y metodología en torno a él. 2) Depurar la lista de referencias: citar o retirar las 8 huérfanas e incluir las 4 faltantes. 3) Incorporar cifras colombianas y locales y las causas y consecuencias de la desigualdad. 4) Cerrar los antecedentes con una síntesis y la brecha. 5) Retirar los textos de plantilla y unificar la declaración de IA con herramienta, versión y fecha.</t>
  </si>
  <si>
    <t xml:space="preserve">El papel de la administración deportiva en las escuelas de fútbol</t>
  </si>
  <si>
    <t xml:space="preserve">G2_MI_Cap2_V2_06_Oct_2026.docx</t>
  </si>
  <si>
    <t xml:space="preserve">Descripción del problema en tres niveles con datos cuantitativos y vacío explícito; antecedentes con síntesis y brecha; delimitación de lugar y periodo; uso de fuentes indexadas recientes (Retos, Pensamiento &amp; Gestión).</t>
  </si>
  <si>
    <t xml:space="preserve">1) Reformular la pregunta y el objetivo general como caracterización (p. ej., ¿cuáles son las funciones que desempeña el administrador…?) o conservar el diseño de estrategia y retirar el OE3. 2) Dividir el OE1 en un único objeto. 3) Sustentar la justificación con fuentes. 4) Agregar un marco teórico (teoría administrativa y modelo de gestión estratégica) y corregir el conteo de funciones. 5) Reescribir la Introducción, unificar la metodología (cualitativa descriptiva o revisión sistemática) y corregir la lista de referencias (Ley 181, Pedreros/Pedrosa, Resolución 639).</t>
  </si>
  <si>
    <t xml:space="preserve">El marketing deportivo como estrategia para la sostenibilidad financiera de escuelas de formación deportiva de Patio Bonito</t>
  </si>
  <si>
    <t xml:space="preserve">G3_Avance_Marco_Teórico.docx</t>
  </si>
  <si>
    <t xml:space="preserve">Planteamiento más coherente entre pregunta y objetivo general; descripción del problema en tres niveles con datos territoriales; antecedentes con comparación crítica, síntesis y brecha; redacción prudente que evita asumir causalidad.</t>
  </si>
  <si>
    <t xml:space="preserve">1) Aportar evidencia del problema en las escuelas (número, financiación, deserción) y sus causas y consecuencias. 2) Ajustar OE2 y OE3 al alcance descriptivo o ampliar el OG a «proponer». 3) Convertir el marco conceptual en teórico: desarrollar Fullerton y Merz (2008) u otro modelo de marketing, y definir sostenibilidad financiera y condiciones socioeconómicas con fuentes. 4) Reconstruir la lista de referencias con autor corporativo y fecha para todas las páginas web, unificar Torres/Pachau Torres y corregir los paréntesis. 5) Retirar el contenido de plantilla.</t>
  </si>
  <si>
    <t xml:space="preserve">Barreras logísticas que limitan la participación de los estudiantes de primer a tercer semestre de Administración Deportiva en el torneo interno de microfútbol de la Sede Bosa Porvenir (2026-3)</t>
  </si>
  <si>
    <t xml:space="preserve">G4-MI-Avance.docx</t>
  </si>
  <si>
    <t xml:space="preserve">Pregunta y objetivo general precisos y alineados; selección de la teoría de restricciones del ocio acorde con el fenómeno; antecedentes organizados por temas con tabla resumen, límites de evidencia y vacío; justificación con destinatarios claros.</t>
  </si>
  <si>
    <t xml:space="preserve">1) Reestructurar el problema en los tres niveles, retirar los encabezados de guion, aportar datos de la sede (inscripciones, partidos por W) y corregir la atribución de cifras a Sevil Serrano et al. y Franco-Idárraga et al. 2) Formular el vacío en el problema. 3) Eliminar el OE3 por duplicidad y el OE4 o ajustar el general a «proponer». 4) Fundamentar la logística deportiva con fuentes y sustituir las que no respaldan la afirmación. 5) Incluir antecedentes de deporte universitario y colombianos. 6) Depurar la lista de referencias (duplicados, orden, autores repetidos) y el contenido de plantilla.</t>
  </si>
  <si>
    <t xml:space="preserve">Desarrollo e implementación del marketing deportivo en el fútbol colombiano: una narrativa de la realidad</t>
  </si>
  <si>
    <t xml:space="preserve">G5_MI_CAP1_CAP2_V2.docx</t>
  </si>
  <si>
    <t xml:space="preserve">Pregunta y objetivo general alineados y con delimitación; intento de organizar el problema en tres niveles; reconocimiento de la naturaleza descriptiva del alcance en la delimitación («no generalizar»).</t>
  </si>
  <si>
    <t xml:space="preserve">1) Definir quién aporta la información (jugadoras o estudiantes) y reformular pregunta, objetivos, justificación y título en consecuencia; modificar el título para diferenciarlo del trabajo de Clavijo Vidal y Vidal Cañas (2021). 2) Incluir en las referencias todas las fuentes institucionales citadas, con autor corporativo, año y enlace. 3) Verificar y corregir las cifras de la sección de magnitud en la fuente primaria. 4) Reescribir las consecuencias en prosa académica. 5) Construir un marco teórico (marketing deportivo, visibilidad mediática, patrocinio) con autores académicos y completar los antecedentes con objetivo, método, resultado, síntesis y vacío.</t>
  </si>
  <si>
    <t xml:space="preserve">¿Cómo se asocia la percepción de la calidad del servicio del gimnasio de la Universidad Distrital (sede Bosa–Porvenir) con la intención de continuar utilizándolo en estudiantes usuarios de 18 a 25 años? (2026-3)</t>
  </si>
  <si>
    <t xml:space="preserve">G6_Cap1_a_Cap5.docx</t>
  </si>
  <si>
    <t xml:space="preserve">Trabajo más completo del curso: pregunta, objetivo general y marco teórico alineados con un diseño cuantitativo correlacional; antecedentes con muestra, método y aporte; vacío explícito; declaración de IA con herramienta, modelo, fecha, propósito y verificación; lista de referencias consistente con las citas.</t>
  </si>
  <si>
    <t xml:space="preserve">1) Reformular la pregunta como relación («¿Qué relación existe…?») y acortar el título. 2) Trasladar a la metodología las técnicas estadísticas de los OE3 y OE4 y corregir la incompatibilidad entre la meta de 85 respuestas y los subgrupos de 30. 3) Fortalecer la justificación con el vacío, beneficiarios y fuentes. 4) Aportar datos del gimnasio (usuarios, asistencia) solicitados a Bienestar Universitario. 5) Retirar las marcas [COMPLETAR], [CONFIRMAR] y [firmas], y el Anexo G.</t>
  </si>
  <si>
    <t xml:space="preserve">Desigualdad de género en la trayectoria académica: percepciones en Administración Deportiva</t>
  </si>
  <si>
    <t xml:space="preserve">G7_MI_30SEP_CAP2.docx</t>
  </si>
  <si>
    <t xml:space="preserve">Planteamiento explícito del problema como falta de evidencia; pregunta, objetivo general y objetivos específicos bien alineados; justificación con valor teórico, utilidad metodológica y viabilidad; marco teórico con cautelas sobre la transferencia de los hallazgos; antecedentes con vacío formulado.</t>
  </si>
  <si>
    <t xml:space="preserve">1) Trasladar a la Descripción del problema la estructura internacional-nacional-local y reducir el marco normativo de la Introducción. 2) Completar las referencias (cuatro antecedentes y UD 2026b), depurar los duplicados y retirar las no citadas. 3) Unificar el objeto del primer párrafo de la Referencia teórica con la pregunta y definir allí desigualdad de género y trayectoria académica. 4) Retirar el metacomentario de los objetivos, la nota pendiente, «el autor» y «anteproyecto». 5) Corregir la declaración de IA (plural, modelo y fechas).</t>
  </si>
  <si>
    <t xml:space="preserve">Evolución económica del baloncesto profesional femenino en Colombia (2022–2025)</t>
  </si>
  <si>
    <t xml:space="preserve">G8 Avances cap 2.docx</t>
  </si>
  <si>
    <t xml:space="preserve">Planteamiento más documentado del curso (cuatro niveles, tres tablas, actores afectados y vacío); pregunta y objetivo general coherentes; justificación con entregables y viabilidad; marco teórico con fuentes de base y síntesis; reconocimiento explícito de límites de los datos.</t>
  </si>
  <si>
    <t xml:space="preserve">1) Verificar la existencia y disponibilidad de datos antes de comprometer la pregunta; si no hay baloncesto femenino profesional contratado formalmente, reformular el objeto o la unidad de análisis. 2) Retirar el método del OG y reubicar el OE1 como actividad metodológica; ajustar o suprimir el OE4. 3) Sustituir la prensa por la fuente primaria (informe de la SIC, estados financieros de la Superintendencia) y reconciliar el dato de «futbolistas». 4) Añadir sufijos a/b en Ministerio del Deporte (2023) y FIBA (2025). 5) Incorporar la Declaración de uso de IA con herramienta, modelo, fecha y alcance. 6) Reducir el nivel de detalle del problema.</t>
  </si>
  <si>
    <t xml:space="preserve">Percepción de los estudiantes de Administración Deportiva sobre el potencial de las herramientas tecnológicas para el análisis táctico y la gestión del rendimiento en el fútbol profesional (2026)</t>
  </si>
  <si>
    <t xml:space="preserve">G9_MI_Capitulo_3.docx</t>
  </si>
  <si>
    <t xml:space="preserve">Pregunta bien delimitada; marco teórico organizado en tres categorías con revisiones indexadas recientes; inclusión de criterios de evaluación de fuentes (tabla CRAAP); referencias con DOI en los artículos.</t>
  </si>
  <si>
    <t xml:space="preserve">1) Reescribir la Introducción en prosa académica y sustentar los niveles internacional, nacional y local con al menos una fuente distinta por nivel, incluyendo datos de magnitud. 2) Acotar el OG y los OE (un constructo y un propósito cada uno). 3) Sustentar la justificación con fuentes y retirar adjetivos promocionales. 4) Ampliar los antecedentes (percepción de estudiantes, formación en analítica deportiva), con síntesis y vacío; incorporar Davidson et al. (2024). 5) Corregir las referencias: Vuorikari et al. (2022), autores corporativos para las páginas web, entrada corrupta de la APA y fuente oficial de la Ley 181. 6) Corregir la portada, retirar la plantilla y completar la declaración de IA.</t>
  </si>
  <si>
    <t xml:space="preserve">Percepción de estudiantes de Administración Deportiva sobre el uso de realidad virtual para el desarrollo de competencias profesionales</t>
  </si>
  <si>
    <t xml:space="preserve">G10_Capítulo 2_Avance_Metodología de Investigación.docx</t>
  </si>
  <si>
    <t xml:space="preserve">Redacción formal y consistente; pregunta, objetivo general y objetivos específicos alineados; antecedentes con la misma estructura en los tres niveles, que indican en cada caso la diferencia frente al estudio; marco teórico con fuentes de base (Kolb, Davis) y esquema de relación.</t>
  </si>
  <si>
    <t xml:space="preserve">1) Replantear el problema como una necesidad formativa documentada (competencias, oferta curricular, brecha), con datos de magnitud, causas y consecuencias. 2) Especificar las competencias del perfil de egreso y definir la población (semestres, experiencia con realidad virtual). 3) Reformular el verbo «reconocer» y retirar el método del OE2. 4) Fortalecer los antecedentes nacionales y locales con estudios sobre educación en gestión deportiva y cerrar con una síntesis y la brecha. 5) Corregir las citas de Cabrera-Duffaut et al. (2024) y Salgado García y Fernández Gualteros (2024); eliminar duplicados y parámetros utm. 6) Redactar una Declaración de IA completa.</t>
  </si>
  <si>
    <t xml:space="preserve">Marketing deportivo en el fútbol: estrategias digitales y engagement de los aficionados</t>
  </si>
  <si>
    <t xml:space="preserve">G11_MI_10oct_Cap2_V2.docx</t>
  </si>
  <si>
    <t xml:space="preserve">Pregunta, objetivo general y marco teórico bien articulados con un diseño cuantitativo correlacional; marco teórico con aclaración de las limitaciones de la medición; lista de referencias con formato APA 7 y DOI en todas las entradas.</t>
  </si>
  <si>
    <t xml:space="preserve">1) Reescribir la Descripción del problema con datos (número de clubes, seguidores, publicaciones, inversión en comunicación), fuentes en los niveles nacional y local, causas y consecuencias. 2) Condensar los seis objetivos en tres de conocimiento y retirar «Interpretar». 3) Sustentar la justificación con fuentes y retirar el párrafo metodológico. 4) Incorporar antecedentes colombianos y latinoamericanos y usar las revisiones de 2023-2025 que ya están en la lista, o retirarlas. 5) Unificar el año de Romero-Jara et al. y verificar qué atribuye cada estudio. 6) Retirar la plantilla y el lenguaje de proceso, y completar la Declaración de IA.</t>
  </si>
  <si>
    <t xml:space="preserve">Declaración de uso de inteligencia artificial generativa</t>
  </si>
  <si>
    <t xml:space="preserve">Conforme a APA 7 y a la práctica de transparencia académica.</t>
  </si>
  <si>
    <t xml:space="preserve">Herramienta y modelo</t>
  </si>
  <si>
    <t xml:space="preserve">Claude (Anthropic), modelo Claude Sonnet 5.5 (identificador claude-sonnet-5-5), ejecutado en el entorno Claude Code. Fecha de uso: 19 de octubre de 2026.</t>
  </si>
  <si>
    <t xml:space="preserve">Solicitud</t>
  </si>
  <si>
    <t xml:space="preserve">Evaluación de 11 documentos de estudiantes según criterios metodológicos para la descripción del problema, la pregunta, los objetivos, la justificación y el capítulo 2, considerando redacción y normas APA 7.ª edición, por solicitud del profesor Kilderman Mendoza Moreno.</t>
  </si>
  <si>
    <t xml:space="preserve">Usos</t>
  </si>
  <si>
    <t xml:space="preserve">Lectura y extracción de texto de los .docx; comprobación automatizada de la correspondencia entre citas y referencias; propuesta de codificación de 31 indicadores por grupo; redacción de los comentarios cualitativos; construcción del libro de Excel con fórmulas.</t>
  </si>
  <si>
    <t xml:space="preserve">Verificaciones realizadas</t>
  </si>
  <si>
    <t xml:space="preserve">Se consultaron en línea tres puntos: la muestra del estudio de Sevil Serrano et al. (citado en G4), los autores del marco DigComp 2.2 (G9) y los tres autores de Cabrera-Duffaut (G10). El resto de los hallazgos se basa en la lectura del texto de cada documento y en el script de correspondencia cita–referencia, con revisión manual de los falsos positivos.</t>
  </si>
  <si>
    <t xml:space="preserve">Limitaciones</t>
  </si>
  <si>
    <t xml:space="preserve">No se usó software antiplagio; las observaciones de originalidad (por ejemplo, la semejanza de título señalada en G5) se apoyan solo en la lista de referencias del propio documento. Las referencias no consultadas en línea no se contrastaron con la fuente. Las codificaciones 0 / 1 / 2 y los pesos son juicios propuestos que requieren validación del profesor antes de su uso para calificar.</t>
  </si>
  <si>
    <t xml:space="preserve">Responsabilidad</t>
  </si>
  <si>
    <t xml:space="preserve">La decisión final sobre las notas y la retroalimentación a los estudiantes corresponde al profesor. El contenido generado debe ser revisado antes de ser compartido.</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</si>
</sst>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0%"/>
    <numFmt numFmtId="169" formatCode="0.0%"/>
    <numFmt numFmtId="170"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sz val="10"/>
      <color rgb="FF008000"/>
      <name val="Arial"/>
      <family val="0"/>
      <charset val="1"/>
    </font>
    <font>
      <sz val="10"/>
      <color rgb="FF0000FF"/>
      <name val="Arial"/>
      <family val="0"/>
      <charset val="1"/>
    </font>
    <font>
      <b val="true"/>
      <sz val="10"/>
      <color rgb="FFFFFFFF"/>
      <name val="Arial"/>
      <family val="0"/>
      <charset val="1"/>
    </font>
    <font>
      <b val="true"/>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D9E2F3"/>
        <bgColor rgb="FFD9D9D9"/>
      </patternFill>
    </fill>
    <fill>
      <patternFill patternType="solid">
        <fgColor rgb="FFFFF2CC"/>
        <bgColor rgb="FFE2EFDA"/>
      </patternFill>
    </fill>
    <fill>
      <patternFill patternType="solid">
        <fgColor rgb="FF1F3864"/>
        <bgColor rgb="FF333333"/>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6" fontId="6" fillId="5"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6" fontId="11"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0" fontId="6" fillId="5" borderId="1" xfId="0" applyFont="true" applyBorder="true" applyAlignment="true" applyProtection="false">
      <alignment horizontal="center" vertical="center" textRotation="0" wrapText="true" indent="0" shrinkToFit="false"/>
      <protection locked="true" hidden="false"/>
    </xf>
    <xf numFmtId="168" fontId="6" fillId="5"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4B6B6"/>
        </patternFill>
      </fill>
    </dxf>
    <dxf>
      <fill>
        <patternFill>
          <bgColor rgb="FFC6E0B4"/>
        </patternFill>
      </fill>
    </dxf>
    <dxf>
      <font>
        <name val="Arial"/>
        <charset val="1"/>
        <family val="0"/>
        <b val="1"/>
        <color rgb="FFC00000"/>
        <sz val="10"/>
      </font>
    </dxf>
    <dxf>
      <fill>
        <patternFill>
          <bgColor rgb="FFFFE699"/>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C6E0B4"/>
          <bgColor rgb="FF000000"/>
        </patternFill>
      </fill>
    </dxf>
    <dxf>
      <fill>
        <patternFill patternType="solid">
          <fgColor rgb="FFF4B6B6"/>
          <bgColor rgb="FF000000"/>
        </patternFill>
      </fill>
    </dxf>
    <dxf>
      <fill>
        <patternFill patternType="solid">
          <fgColor rgb="FFFFE699"/>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FE699"/>
      <rgbColor rgb="FF99CCFF"/>
      <rgbColor rgb="FFFF99CC"/>
      <rgbColor rgb="FFCC99FF"/>
      <rgbColor rgb="FFF4B6B6"/>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Nota total por grupo (0 – 5)</a:t>
            </a:r>
          </a:p>
        </c:rich>
      </c:tx>
      <c:overlay val="0"/>
      <c:spPr>
        <a:noFill/>
        <a:ln w="0">
          <a:noFill/>
        </a:ln>
      </c:spPr>
    </c:title>
    <c:autoTitleDeleted val="0"/>
    <c:plotArea>
      <c:barChart>
        <c:barDir val="col"/>
        <c:grouping val="clustered"/>
        <c:varyColors val="0"/>
        <c:ser>
          <c:idx val="0"/>
          <c:order val="0"/>
          <c:tx>
            <c:strRef>
              <c:f>'Análisis cuantitativo'!K4</c:f>
              <c:strCache>
                <c:ptCount val="1"/>
                <c:pt idx="0">
                  <c:v>Total</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 cuantitativo'!$A$5:$A$15</c:f>
              <c:strCache>
                <c:ptCount val="11"/>
                <c:pt idx="0">
                  <c:v>G1</c:v>
                </c:pt>
                <c:pt idx="1">
                  <c:v>G2</c:v>
                </c:pt>
                <c:pt idx="2">
                  <c:v>G3</c:v>
                </c:pt>
                <c:pt idx="3">
                  <c:v>G4</c:v>
                </c:pt>
                <c:pt idx="4">
                  <c:v>G5</c:v>
                </c:pt>
                <c:pt idx="5">
                  <c:v>G6</c:v>
                </c:pt>
                <c:pt idx="6">
                  <c:v>G7</c:v>
                </c:pt>
                <c:pt idx="7">
                  <c:v>G8</c:v>
                </c:pt>
                <c:pt idx="8">
                  <c:v>G9</c:v>
                </c:pt>
                <c:pt idx="9">
                  <c:v>G10</c:v>
                </c:pt>
                <c:pt idx="10">
                  <c:v>G11</c:v>
                </c:pt>
              </c:strCache>
            </c:strRef>
          </c:cat>
          <c:val>
            <c:numRef>
              <c:f>'Análisis cuantitativo'!$K$5:$K$15</c:f>
              <c:numCache>
                <c:formatCode>0.00</c:formatCode>
                <c:ptCount val="11"/>
                <c:pt idx="0">
                  <c:v>2.35625</c:v>
                </c:pt>
                <c:pt idx="1">
                  <c:v>3.03875</c:v>
                </c:pt>
                <c:pt idx="2">
                  <c:v>3.67125</c:v>
                </c:pt>
                <c:pt idx="3">
                  <c:v>3.595</c:v>
                </c:pt>
                <c:pt idx="4">
                  <c:v>2.145</c:v>
                </c:pt>
                <c:pt idx="5">
                  <c:v>4.22375</c:v>
                </c:pt>
                <c:pt idx="6">
                  <c:v>4.395</c:v>
                </c:pt>
                <c:pt idx="7">
                  <c:v>4.36125</c:v>
                </c:pt>
                <c:pt idx="8">
                  <c:v>2.36</c:v>
                </c:pt>
                <c:pt idx="9">
                  <c:v>3.56</c:v>
                </c:pt>
                <c:pt idx="10">
                  <c:v>3.54</c:v>
                </c:pt>
              </c:numCache>
            </c:numRef>
          </c:val>
        </c:ser>
        <c:gapWidth val="150"/>
        <c:overlap val="0"/>
        <c:axId val="31143396"/>
        <c:axId val="68554647"/>
      </c:barChart>
      <c:catAx>
        <c:axId val="311433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Grupo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554647"/>
        <c:crosses val="autoZero"/>
        <c:auto val="1"/>
        <c:lblAlgn val="ctr"/>
        <c:lblOffset val="100"/>
        <c:noMultiLvlLbl val="0"/>
      </c:catAx>
      <c:valAx>
        <c:axId val="68554647"/>
        <c:scaling>
          <c:orientation val="minMax"/>
          <c:max val="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Nota</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433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Nota media por ítem (n = 11 grupos)</a:t>
            </a:r>
          </a:p>
        </c:rich>
      </c:tx>
      <c:overlay val="0"/>
      <c:spPr>
        <a:noFill/>
        <a:ln w="0">
          <a:noFill/>
        </a:ln>
      </c:spPr>
    </c:title>
    <c:autoTitleDeleted val="0"/>
    <c:plotArea>
      <c:barChart>
        <c:barDir val="col"/>
        <c:grouping val="clustered"/>
        <c:varyColors val="0"/>
        <c:ser>
          <c:idx val="0"/>
          <c:order val="0"/>
          <c:tx>
            <c:strRef>
              <c:f>'Análisis cuantitativo'!D18</c:f>
              <c:strCache>
                <c:ptCount val="1"/>
                <c:pt idx="0">
                  <c:v>Media</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 cuantitativo'!$A$19:$A$26</c:f>
              <c:strCache>
                <c:ptCount val="8"/>
                <c:pt idx="0">
                  <c:v>P</c:v>
                </c:pt>
                <c:pt idx="1">
                  <c:v>Q</c:v>
                </c:pt>
                <c:pt idx="2">
                  <c:v>OG</c:v>
                </c:pt>
                <c:pt idx="3">
                  <c:v>OE</c:v>
                </c:pt>
                <c:pt idx="4">
                  <c:v>J</c:v>
                </c:pt>
                <c:pt idx="5">
                  <c:v>A</c:v>
                </c:pt>
                <c:pt idx="6">
                  <c:v>M</c:v>
                </c:pt>
                <c:pt idx="7">
                  <c:v>T</c:v>
                </c:pt>
              </c:strCache>
            </c:strRef>
          </c:cat>
          <c:val>
            <c:numRef>
              <c:f>'Análisis cuantitativo'!$D$19:$D$26</c:f>
              <c:numCache>
                <c:formatCode>0.00</c:formatCode>
                <c:ptCount val="8"/>
                <c:pt idx="0">
                  <c:v>2.875</c:v>
                </c:pt>
                <c:pt idx="1">
                  <c:v>4.25</c:v>
                </c:pt>
                <c:pt idx="2">
                  <c:v>4.45454545454545</c:v>
                </c:pt>
                <c:pt idx="3">
                  <c:v>3.19318181818182</c:v>
                </c:pt>
                <c:pt idx="4">
                  <c:v>3.125</c:v>
                </c:pt>
                <c:pt idx="5">
                  <c:v>3.53409090909091</c:v>
                </c:pt>
                <c:pt idx="6">
                  <c:v>3.48863636363636</c:v>
                </c:pt>
                <c:pt idx="7">
                  <c:v>2.30681818181818</c:v>
                </c:pt>
              </c:numCache>
            </c:numRef>
          </c:val>
        </c:ser>
        <c:gapWidth val="150"/>
        <c:overlap val="0"/>
        <c:axId val="27999341"/>
        <c:axId val="51502776"/>
      </c:barChart>
      <c:catAx>
        <c:axId val="279993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502776"/>
        <c:crosses val="autoZero"/>
        <c:auto val="1"/>
        <c:lblAlgn val="ctr"/>
        <c:lblOffset val="100"/>
        <c:noMultiLvlLbl val="0"/>
      </c:catAx>
      <c:valAx>
        <c:axId val="51502776"/>
        <c:scaling>
          <c:orientation val="minMax"/>
          <c:max val="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Nota media</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9993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de grupos con código 0 por indicador</a:t>
            </a:r>
          </a:p>
        </c:rich>
      </c:tx>
      <c:overlay val="0"/>
      <c:spPr>
        <a:noFill/>
        <a:ln w="0">
          <a:noFill/>
        </a:ln>
      </c:spPr>
    </c:title>
    <c:autoTitleDeleted val="0"/>
    <c:plotArea>
      <c:barChart>
        <c:barDir val="bar"/>
        <c:grouping val="clustered"/>
        <c:varyColors val="0"/>
        <c:ser>
          <c:idx val="0"/>
          <c:order val="0"/>
          <c:tx>
            <c:strRef>
              <c:f>'Análisis cuantitativo'!G31</c:f>
              <c:strCache>
                <c:ptCount val="1"/>
                <c:pt idx="0">
                  <c:v>% con código 0</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'Análisis cuantitativo'!$A$32:$A$62</c:f>
              <c:strCache>
                <c:ptCount val="31"/>
                <c:pt idx="0">
                  <c:v>P1</c:v>
                </c:pt>
                <c:pt idx="1">
                  <c:v>P2</c:v>
                </c:pt>
                <c:pt idx="2">
                  <c:v>P3</c:v>
                </c:pt>
                <c:pt idx="3">
                  <c:v>P4</c:v>
                </c:pt>
                <c:pt idx="4">
                  <c:v>P5</c:v>
                </c:pt>
                <c:pt idx="5">
                  <c:v>Q1</c:v>
                </c:pt>
                <c:pt idx="6">
                  <c:v>Q2</c:v>
                </c:pt>
                <c:pt idx="7">
                  <c:v>Q3</c:v>
                </c:pt>
                <c:pt idx="8">
                  <c:v>Q4</c:v>
                </c:pt>
                <c:pt idx="9">
                  <c:v>G1</c:v>
                </c:pt>
                <c:pt idx="10">
                  <c:v>G2</c:v>
                </c:pt>
                <c:pt idx="11">
                  <c:v>G3</c:v>
                </c:pt>
                <c:pt idx="12">
                  <c:v>E1</c:v>
                </c:pt>
                <c:pt idx="13">
                  <c:v>E2</c:v>
                </c:pt>
                <c:pt idx="14">
                  <c:v>E3</c:v>
                </c:pt>
                <c:pt idx="15">
                  <c:v>J1</c:v>
                </c:pt>
                <c:pt idx="16">
                  <c:v>J2</c:v>
                </c:pt>
                <c:pt idx="17">
                  <c:v>J3</c:v>
                </c:pt>
                <c:pt idx="18">
                  <c:v>J4</c:v>
                </c:pt>
                <c:pt idx="19">
                  <c:v>A1</c:v>
                </c:pt>
                <c:pt idx="20">
                  <c:v>A2</c:v>
                </c:pt>
                <c:pt idx="21">
                  <c:v>A3</c:v>
                </c:pt>
                <c:pt idx="22">
                  <c:v>A4</c:v>
                </c:pt>
                <c:pt idx="23">
                  <c:v>M1</c:v>
                </c:pt>
                <c:pt idx="24">
                  <c:v>M2</c:v>
                </c:pt>
                <c:pt idx="25">
                  <c:v>M3</c:v>
                </c:pt>
                <c:pt idx="26">
                  <c:v>M4</c:v>
                </c:pt>
                <c:pt idx="27">
                  <c:v>T1</c:v>
                </c:pt>
                <c:pt idx="28">
                  <c:v>T2</c:v>
                </c:pt>
                <c:pt idx="29">
                  <c:v>T3</c:v>
                </c:pt>
                <c:pt idx="30">
                  <c:v>T4</c:v>
                </c:pt>
              </c:strCache>
            </c:strRef>
          </c:cat>
          <c:val>
            <c:numRef>
              <c:f>'Análisis cuantitativo'!$G$32:$G$62</c:f>
              <c:numCache>
                <c:formatCode>0%</c:formatCode>
                <c:ptCount val="31"/>
                <c:pt idx="0">
                  <c:v>0</c:v>
                </c:pt>
                <c:pt idx="1">
                  <c:v>0.272727272727273</c:v>
                </c:pt>
                <c:pt idx="2">
                  <c:v>0.363636363636364</c:v>
                </c:pt>
                <c:pt idx="3">
                  <c:v>0.0909090909090909</c:v>
                </c:pt>
                <c:pt idx="4">
                  <c:v>0</c:v>
                </c:pt>
                <c:pt idx="5">
                  <c:v>0</c:v>
                </c:pt>
                <c:pt idx="6">
                  <c:v>0</c:v>
                </c:pt>
                <c:pt idx="7">
                  <c:v>0</c:v>
                </c:pt>
                <c:pt idx="8">
                  <c:v>0</c:v>
                </c:pt>
                <c:pt idx="9">
                  <c:v>0</c:v>
                </c:pt>
                <c:pt idx="10">
                  <c:v>0.0909090909090909</c:v>
                </c:pt>
                <c:pt idx="11">
                  <c:v>0</c:v>
                </c:pt>
                <c:pt idx="12">
                  <c:v>0.0909090909090909</c:v>
                </c:pt>
                <c:pt idx="13">
                  <c:v>0</c:v>
                </c:pt>
                <c:pt idx="14">
                  <c:v>0.0909090909090909</c:v>
                </c:pt>
                <c:pt idx="15">
                  <c:v>0</c:v>
                </c:pt>
                <c:pt idx="16">
                  <c:v>0</c:v>
                </c:pt>
                <c:pt idx="17">
                  <c:v>0.272727272727273</c:v>
                </c:pt>
                <c:pt idx="18">
                  <c:v>0.272727272727273</c:v>
                </c:pt>
                <c:pt idx="19">
                  <c:v>0</c:v>
                </c:pt>
                <c:pt idx="20">
                  <c:v>0</c:v>
                </c:pt>
                <c:pt idx="21">
                  <c:v>0.272727272727273</c:v>
                </c:pt>
                <c:pt idx="22">
                  <c:v>0</c:v>
                </c:pt>
                <c:pt idx="23">
                  <c:v>0.0909090909090909</c:v>
                </c:pt>
                <c:pt idx="24">
                  <c:v>0.181818181818182</c:v>
                </c:pt>
                <c:pt idx="25">
                  <c:v>0</c:v>
                </c:pt>
                <c:pt idx="26">
                  <c:v>0.0909090909090909</c:v>
                </c:pt>
                <c:pt idx="27">
                  <c:v>0</c:v>
                </c:pt>
                <c:pt idx="28">
                  <c:v>0.272727272727273</c:v>
                </c:pt>
                <c:pt idx="29">
                  <c:v>0.363636363636364</c:v>
                </c:pt>
                <c:pt idx="30">
                  <c:v>0.363636363636364</c:v>
                </c:pt>
              </c:numCache>
            </c:numRef>
          </c:val>
        </c:ser>
        <c:gapWidth val="150"/>
        <c:overlap val="0"/>
        <c:axId val="82265687"/>
        <c:axId val="71674665"/>
      </c:barChart>
      <c:catAx>
        <c:axId val="822656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674665"/>
        <c:crosses val="autoZero"/>
        <c:auto val="1"/>
        <c:lblAlgn val="ctr"/>
        <c:lblOffset val="100"/>
        <c:noMultiLvlLbl val="0"/>
      </c:catAx>
      <c:valAx>
        <c:axId val="71674665"/>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2656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1</xdr:row>
      <xdr:rowOff>160560</xdr:rowOff>
    </xdr:from>
    <xdr:to>
      <xdr:col>24</xdr:col>
      <xdr:colOff>255960</xdr:colOff>
      <xdr:row>16</xdr:row>
      <xdr:rowOff>20880</xdr:rowOff>
    </xdr:to>
    <xdr:graphicFrame>
      <xdr:nvGraphicFramePr>
        <xdr:cNvPr id="0" name="Chart 1"/>
        <xdr:cNvGraphicFramePr/>
      </xdr:nvGraphicFramePr>
      <xdr:xfrm>
        <a:off x="15695280" y="38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19</xdr:row>
      <xdr:rowOff>160560</xdr:rowOff>
    </xdr:from>
    <xdr:to>
      <xdr:col>24</xdr:col>
      <xdr:colOff>255960</xdr:colOff>
      <xdr:row>31</xdr:row>
      <xdr:rowOff>439920</xdr:rowOff>
    </xdr:to>
    <xdr:graphicFrame>
      <xdr:nvGraphicFramePr>
        <xdr:cNvPr id="1" name="Chart 2"/>
        <xdr:cNvGraphicFramePr/>
      </xdr:nvGraphicFramePr>
      <xdr:xfrm>
        <a:off x="15695280" y="428616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37</xdr:row>
      <xdr:rowOff>198720</xdr:rowOff>
    </xdr:from>
    <xdr:to>
      <xdr:col>24</xdr:col>
      <xdr:colOff>255960</xdr:colOff>
      <xdr:row>58</xdr:row>
      <xdr:rowOff>260280</xdr:rowOff>
    </xdr:to>
    <xdr:graphicFrame>
      <xdr:nvGraphicFramePr>
        <xdr:cNvPr id="2" name="Chart 3"/>
        <xdr:cNvGraphicFramePr/>
      </xdr:nvGraphicFramePr>
      <xdr:xfrm>
        <a:off x="15695280" y="9372600"/>
        <a:ext cx="5759640" cy="79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5"/>
  </cols>
  <sheetData>
    <row r="1" customFormat="false" ht="17.35" hidden="false" customHeight="false" outlineLevel="0" collapsed="false">
      <c r="A1" s="1" t="s">
        <v>0</v>
      </c>
    </row>
    <row r="2" customFormat="false" ht="15" hidden="false" customHeight="false" outlineLevel="0" collapsed="false">
      <c r="A2" s="2" t="s">
        <v>1</v>
      </c>
    </row>
    <row r="4" customFormat="false" ht="42.75" hidden="false" customHeight="true" outlineLevel="0" collapsed="false">
      <c r="A4" s="3" t="s">
        <v>2</v>
      </c>
      <c r="B4" s="4" t="s">
        <v>3</v>
      </c>
    </row>
    <row r="5" customFormat="false" ht="42.75" hidden="false" customHeight="true" outlineLevel="0" collapsed="false">
      <c r="A5" s="3" t="s">
        <v>4</v>
      </c>
      <c r="B5" s="4" t="s">
        <v>5</v>
      </c>
    </row>
    <row r="6" customFormat="false" ht="30" hidden="false" customHeight="true" outlineLevel="0" collapsed="false">
      <c r="A6" s="3" t="s">
        <v>6</v>
      </c>
      <c r="B6" s="4" t="s">
        <v>7</v>
      </c>
    </row>
    <row r="7" customFormat="false" ht="30" hidden="false" customHeight="true" outlineLevel="0" collapsed="false">
      <c r="A7" s="3" t="s">
        <v>8</v>
      </c>
      <c r="B7" s="4" t="s">
        <v>9</v>
      </c>
    </row>
    <row r="8" customFormat="false" ht="30" hidden="false" customHeight="true" outlineLevel="0" collapsed="false">
      <c r="A8" s="3" t="s">
        <v>10</v>
      </c>
      <c r="B8" s="4" t="s">
        <v>11</v>
      </c>
    </row>
    <row r="9" customFormat="false" ht="42.75" hidden="false" customHeight="true" outlineLevel="0" collapsed="false">
      <c r="A9" s="3" t="s">
        <v>12</v>
      </c>
      <c r="B9" s="4" t="s">
        <v>13</v>
      </c>
    </row>
    <row r="10" customFormat="false" ht="42.75" hidden="false" customHeight="true" outlineLevel="0" collapsed="false">
      <c r="A10" s="3" t="s">
        <v>14</v>
      </c>
      <c r="B10" s="4" t="s">
        <v>15</v>
      </c>
    </row>
    <row r="11" customFormat="false" ht="30" hidden="false" customHeight="true" outlineLevel="0" collapsed="false">
      <c r="A11" s="3" t="s">
        <v>16</v>
      </c>
      <c r="B11" s="4" t="s">
        <v>17</v>
      </c>
    </row>
    <row r="13" customFormat="false" ht="15" hidden="false" customHeight="false" outlineLevel="0" collapsed="false">
      <c r="A13" s="5" t="s">
        <v>18</v>
      </c>
      <c r="B13" s="5"/>
    </row>
    <row r="14" customFormat="false" ht="15" hidden="false" customHeight="false" outlineLevel="0" collapsed="false">
      <c r="A14" s="6" t="s">
        <v>19</v>
      </c>
      <c r="B14" s="7" t="n">
        <f aca="false">COUNTA('Resumen por grupo'!A5:A15)</f>
        <v>11</v>
      </c>
    </row>
    <row r="15" customFormat="false" ht="15" hidden="false" customHeight="false" outlineLevel="0" collapsed="false">
      <c r="A15" s="6" t="s">
        <v>20</v>
      </c>
      <c r="B15" s="8" t="n">
        <f aca="false">'Análisis cuantitativo'!D27</f>
        <v>3.38602272727273</v>
      </c>
    </row>
    <row r="16" customFormat="false" ht="15" hidden="false" customHeight="false" outlineLevel="0" collapsed="false">
      <c r="A16" s="6" t="s">
        <v>21</v>
      </c>
      <c r="B16" s="7" t="n">
        <f aca="false">'Análisis cuantitativo'!I27</f>
        <v>8</v>
      </c>
    </row>
    <row r="17" customFormat="false" ht="15" hidden="false" customHeight="false" outlineLevel="0" collapsed="false">
      <c r="A17" s="6" t="s">
        <v>22</v>
      </c>
      <c r="B17" s="9" t="str">
        <f aca="false">'Análisis cuantitativo'!K27</f>
        <v>G7</v>
      </c>
    </row>
    <row r="18" customFormat="false" ht="15" hidden="false" customHeight="false" outlineLevel="0" collapsed="false">
      <c r="A18" s="6" t="s">
        <v>23</v>
      </c>
      <c r="B18" s="9" t="str">
        <f aca="false">'Análisis cuantitativo'!L27</f>
        <v>G5</v>
      </c>
    </row>
    <row r="19" customFormat="false" ht="15" hidden="false" customHeight="false" outlineLevel="0" collapsed="false">
      <c r="A19" s="6" t="s">
        <v>24</v>
      </c>
      <c r="B19" s="7" t="n">
        <f aca="false">'Errores APA y redacción'!M14</f>
        <v>104</v>
      </c>
    </row>
    <row r="20" customFormat="false" ht="15" hidden="false" customHeight="false" outlineLevel="0" collapsed="false">
      <c r="A20" s="6" t="s">
        <v>25</v>
      </c>
      <c r="B20" s="9" t="str">
        <f aca="false">IF(AND(Rúbrica!C19=1,Calificación!E47&gt;=0,'Errores APA y redacción'!M21="OK"),"OK","REVISAR")</f>
        <v>OK</v>
      </c>
    </row>
  </sheetData>
  <mergeCells count="1">
    <mergeCell ref="A13:B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78"/>
    <col collapsed="false" customWidth="true" hidden="false" outlineLevel="0" max="4" min="4" style="0" width="14"/>
    <col collapsed="false" customWidth="true" hidden="false" outlineLevel="0" max="5" min="5" style="0" width="13"/>
    <col collapsed="false" customWidth="true" hidden="false" outlineLevel="0" max="6" min="6" style="0" width="16"/>
    <col collapsed="false" customWidth="true" hidden="false" outlineLevel="0" max="7" min="7" style="0" width="14"/>
  </cols>
  <sheetData>
    <row r="1" customFormat="false" ht="17.35" hidden="false" customHeight="false" outlineLevel="0" collapsed="false">
      <c r="A1" s="1" t="s">
        <v>26</v>
      </c>
    </row>
    <row r="2" customFormat="false" ht="15" hidden="false" customHeight="false" outlineLevel="0" collapsed="false">
      <c r="A2" s="2" t="s">
        <v>27</v>
      </c>
    </row>
    <row r="4" customFormat="false" ht="15" hidden="false" customHeight="false" outlineLevel="0" collapsed="false">
      <c r="A4" s="5" t="s">
        <v>28</v>
      </c>
      <c r="B4" s="5"/>
      <c r="C4" s="5"/>
      <c r="D4" s="5"/>
    </row>
    <row r="5" customFormat="false" ht="15" hidden="false" customHeight="false" outlineLevel="0" collapsed="false">
      <c r="A5" s="10" t="s">
        <v>29</v>
      </c>
      <c r="B5" s="10"/>
      <c r="C5" s="10"/>
      <c r="D5" s="11" t="n">
        <v>5</v>
      </c>
    </row>
    <row r="6" customFormat="false" ht="15" hidden="false" customHeight="false" outlineLevel="0" collapsed="false">
      <c r="A6" s="10" t="s">
        <v>30</v>
      </c>
      <c r="B6" s="10"/>
      <c r="C6" s="10"/>
      <c r="D6" s="11" t="n">
        <v>3</v>
      </c>
    </row>
    <row r="7" customFormat="false" ht="15" hidden="false" customHeight="false" outlineLevel="0" collapsed="false">
      <c r="A7" s="10" t="s">
        <v>31</v>
      </c>
      <c r="B7" s="10"/>
      <c r="C7" s="10"/>
      <c r="D7" s="11" t="n">
        <v>4</v>
      </c>
    </row>
    <row r="8" customFormat="false" ht="15" hidden="false" customHeight="false" outlineLevel="0" collapsed="false">
      <c r="A8" s="10" t="s">
        <v>32</v>
      </c>
      <c r="B8" s="10"/>
      <c r="C8" s="10"/>
      <c r="D8" s="11" t="n">
        <v>2</v>
      </c>
    </row>
    <row r="10" customFormat="false" ht="30" hidden="false" customHeight="true" outlineLevel="0" collapsed="false">
      <c r="A10" s="12" t="s">
        <v>33</v>
      </c>
      <c r="B10" s="12" t="s">
        <v>34</v>
      </c>
      <c r="C10" s="12" t="s">
        <v>35</v>
      </c>
    </row>
    <row r="11" customFormat="false" ht="15" hidden="false" customHeight="false" outlineLevel="0" collapsed="false">
      <c r="A11" s="6" t="s">
        <v>36</v>
      </c>
      <c r="B11" s="10" t="s">
        <v>37</v>
      </c>
      <c r="C11" s="13" t="n">
        <v>0.18</v>
      </c>
    </row>
    <row r="12" customFormat="false" ht="15" hidden="false" customHeight="false" outlineLevel="0" collapsed="false">
      <c r="A12" s="6" t="s">
        <v>38</v>
      </c>
      <c r="B12" s="10" t="s">
        <v>39</v>
      </c>
      <c r="C12" s="13" t="n">
        <v>0.14</v>
      </c>
    </row>
    <row r="13" customFormat="false" ht="15" hidden="false" customHeight="false" outlineLevel="0" collapsed="false">
      <c r="A13" s="6" t="s">
        <v>40</v>
      </c>
      <c r="B13" s="10" t="s">
        <v>41</v>
      </c>
      <c r="C13" s="13" t="n">
        <v>0.09</v>
      </c>
    </row>
    <row r="14" customFormat="false" ht="15" hidden="false" customHeight="false" outlineLevel="0" collapsed="false">
      <c r="A14" s="6" t="s">
        <v>42</v>
      </c>
      <c r="B14" s="10" t="s">
        <v>43</v>
      </c>
      <c r="C14" s="13" t="n">
        <v>0.09</v>
      </c>
    </row>
    <row r="15" customFormat="false" ht="15" hidden="false" customHeight="false" outlineLevel="0" collapsed="false">
      <c r="A15" s="6" t="s">
        <v>44</v>
      </c>
      <c r="B15" s="10" t="s">
        <v>45</v>
      </c>
      <c r="C15" s="13" t="n">
        <v>0.13</v>
      </c>
    </row>
    <row r="16" customFormat="false" ht="15" hidden="false" customHeight="false" outlineLevel="0" collapsed="false">
      <c r="A16" s="6" t="s">
        <v>46</v>
      </c>
      <c r="B16" s="10" t="s">
        <v>47</v>
      </c>
      <c r="C16" s="13" t="n">
        <v>0.14</v>
      </c>
    </row>
    <row r="17" customFormat="false" ht="15" hidden="false" customHeight="false" outlineLevel="0" collapsed="false">
      <c r="A17" s="6" t="s">
        <v>48</v>
      </c>
      <c r="B17" s="10" t="s">
        <v>49</v>
      </c>
      <c r="C17" s="13" t="n">
        <v>0.13</v>
      </c>
    </row>
    <row r="18" customFormat="false" ht="15" hidden="false" customHeight="false" outlineLevel="0" collapsed="false">
      <c r="A18" s="6" t="s">
        <v>50</v>
      </c>
      <c r="B18" s="10" t="s">
        <v>51</v>
      </c>
      <c r="C18" s="13" t="n">
        <v>0.1</v>
      </c>
    </row>
    <row r="19" customFormat="false" ht="15" hidden="false" customHeight="false" outlineLevel="0" collapsed="false">
      <c r="B19" s="14" t="s">
        <v>52</v>
      </c>
      <c r="C19" s="15" t="n">
        <f aca="false">SUM(C11:C18)</f>
        <v>1</v>
      </c>
    </row>
    <row r="21" customFormat="false" ht="15" hidden="false" customHeight="false" outlineLevel="0" collapsed="false">
      <c r="A21" s="5" t="s">
        <v>53</v>
      </c>
      <c r="B21" s="5"/>
      <c r="C21" s="5"/>
      <c r="D21" s="5"/>
      <c r="E21" s="5"/>
      <c r="F21" s="5"/>
      <c r="G21" s="5"/>
    </row>
    <row r="22" customFormat="false" ht="30" hidden="false" customHeight="true" outlineLevel="0" collapsed="false">
      <c r="A22" s="12" t="s">
        <v>54</v>
      </c>
      <c r="B22" s="12" t="s">
        <v>33</v>
      </c>
      <c r="C22" s="12" t="s">
        <v>55</v>
      </c>
      <c r="D22" s="12" t="s">
        <v>56</v>
      </c>
      <c r="E22" s="12" t="s">
        <v>57</v>
      </c>
      <c r="F22" s="12" t="s">
        <v>58</v>
      </c>
      <c r="G22" s="12" t="s">
        <v>59</v>
      </c>
    </row>
    <row r="23" customFormat="false" ht="30" hidden="false" customHeight="true" outlineLevel="0" collapsed="false">
      <c r="A23" s="10" t="s">
        <v>36</v>
      </c>
      <c r="B23" s="6" t="s">
        <v>60</v>
      </c>
      <c r="C23" s="4" t="s">
        <v>61</v>
      </c>
      <c r="D23" s="13" t="n">
        <v>0.25</v>
      </c>
      <c r="E23" s="16" t="n">
        <f aca="false">SUMIF($A$11:$A$18,A23,$C$11:$C$18)*D23</f>
        <v>0.045</v>
      </c>
      <c r="F23" s="17" t="n">
        <f aca="false">SUM(D23:D27)</f>
        <v>1</v>
      </c>
      <c r="G23" s="6" t="str">
        <f aca="false">IF(ROUND(F23,4)=1,"OK","Revisar")</f>
        <v>OK</v>
      </c>
    </row>
    <row r="24" customFormat="false" ht="30" hidden="false" customHeight="true" outlineLevel="0" collapsed="false">
      <c r="A24" s="10" t="s">
        <v>36</v>
      </c>
      <c r="B24" s="6" t="s">
        <v>62</v>
      </c>
      <c r="C24" s="4" t="s">
        <v>63</v>
      </c>
      <c r="D24" s="13" t="n">
        <v>0.25</v>
      </c>
      <c r="E24" s="16" t="n">
        <f aca="false">SUMIF($A$11:$A$18,A24,$C$11:$C$18)*D24</f>
        <v>0.045</v>
      </c>
    </row>
    <row r="25" customFormat="false" ht="30" hidden="false" customHeight="true" outlineLevel="0" collapsed="false">
      <c r="A25" s="10" t="s">
        <v>36</v>
      </c>
      <c r="B25" s="6" t="s">
        <v>64</v>
      </c>
      <c r="C25" s="4" t="s">
        <v>65</v>
      </c>
      <c r="D25" s="13" t="n">
        <v>0.2</v>
      </c>
      <c r="E25" s="16" t="n">
        <f aca="false">SUMIF($A$11:$A$18,A25,$C$11:$C$18)*D25</f>
        <v>0.036</v>
      </c>
    </row>
    <row r="26" customFormat="false" ht="18" hidden="false" customHeight="true" outlineLevel="0" collapsed="false">
      <c r="A26" s="10" t="s">
        <v>36</v>
      </c>
      <c r="B26" s="6" t="s">
        <v>66</v>
      </c>
      <c r="C26" s="4" t="s">
        <v>67</v>
      </c>
      <c r="D26" s="13" t="n">
        <v>0.15</v>
      </c>
      <c r="E26" s="16" t="n">
        <f aca="false">SUMIF($A$11:$A$18,A26,$C$11:$C$18)*D26</f>
        <v>0.027</v>
      </c>
    </row>
    <row r="27" customFormat="false" ht="30" hidden="false" customHeight="true" outlineLevel="0" collapsed="false">
      <c r="A27" s="10" t="s">
        <v>36</v>
      </c>
      <c r="B27" s="6" t="s">
        <v>68</v>
      </c>
      <c r="C27" s="4" t="s">
        <v>69</v>
      </c>
      <c r="D27" s="13" t="n">
        <v>0.15</v>
      </c>
      <c r="E27" s="16" t="n">
        <f aca="false">SUMIF($A$11:$A$18,A27,$C$11:$C$18)*D27</f>
        <v>0.027</v>
      </c>
    </row>
    <row r="28" customFormat="false" ht="30" hidden="false" customHeight="true" outlineLevel="0" collapsed="false">
      <c r="A28" s="10" t="s">
        <v>38</v>
      </c>
      <c r="B28" s="6" t="s">
        <v>70</v>
      </c>
      <c r="C28" s="4" t="s">
        <v>71</v>
      </c>
      <c r="D28" s="13" t="n">
        <v>0.3</v>
      </c>
      <c r="E28" s="16" t="n">
        <f aca="false">SUMIF($A$11:$A$18,A28,$C$11:$C$18)*D28</f>
        <v>0.042</v>
      </c>
      <c r="F28" s="17" t="n">
        <f aca="false">SUM(D28:D31)</f>
        <v>1</v>
      </c>
      <c r="G28" s="6" t="str">
        <f aca="false">IF(ROUND(F28,4)=1,"OK","Revisar")</f>
        <v>OK</v>
      </c>
    </row>
    <row r="29" customFormat="false" ht="18" hidden="false" customHeight="true" outlineLevel="0" collapsed="false">
      <c r="A29" s="10" t="s">
        <v>38</v>
      </c>
      <c r="B29" s="6" t="s">
        <v>72</v>
      </c>
      <c r="C29" s="4" t="s">
        <v>73</v>
      </c>
      <c r="D29" s="13" t="n">
        <v>0.3</v>
      </c>
      <c r="E29" s="16" t="n">
        <f aca="false">SUMIF($A$11:$A$18,A29,$C$11:$C$18)*D29</f>
        <v>0.042</v>
      </c>
    </row>
    <row r="30" customFormat="false" ht="18" hidden="false" customHeight="true" outlineLevel="0" collapsed="false">
      <c r="A30" s="10" t="s">
        <v>38</v>
      </c>
      <c r="B30" s="6" t="s">
        <v>74</v>
      </c>
      <c r="C30" s="4" t="s">
        <v>75</v>
      </c>
      <c r="D30" s="13" t="n">
        <v>0.2</v>
      </c>
      <c r="E30" s="16" t="n">
        <f aca="false">SUMIF($A$11:$A$18,A30,$C$11:$C$18)*D30</f>
        <v>0.028</v>
      </c>
    </row>
    <row r="31" customFormat="false" ht="18" hidden="false" customHeight="true" outlineLevel="0" collapsed="false">
      <c r="A31" s="10" t="s">
        <v>38</v>
      </c>
      <c r="B31" s="6" t="s">
        <v>76</v>
      </c>
      <c r="C31" s="4" t="s">
        <v>77</v>
      </c>
      <c r="D31" s="13" t="n">
        <v>0.2</v>
      </c>
      <c r="E31" s="16" t="n">
        <f aca="false">SUMIF($A$11:$A$18,A31,$C$11:$C$18)*D31</f>
        <v>0.028</v>
      </c>
    </row>
    <row r="32" customFormat="false" ht="18" hidden="false" customHeight="true" outlineLevel="0" collapsed="false">
      <c r="A32" s="10" t="s">
        <v>40</v>
      </c>
      <c r="B32" s="6" t="s">
        <v>78</v>
      </c>
      <c r="C32" s="4" t="s">
        <v>79</v>
      </c>
      <c r="D32" s="13" t="n">
        <v>0.35</v>
      </c>
      <c r="E32" s="16" t="n">
        <f aca="false">SUMIF($A$11:$A$18,A32,$C$11:$C$18)*D32</f>
        <v>0.0315</v>
      </c>
      <c r="F32" s="17" t="n">
        <f aca="false">SUM(D32:D34)</f>
        <v>1</v>
      </c>
      <c r="G32" s="6" t="str">
        <f aca="false">IF(ROUND(F32,4)=1,"OK","Revisar")</f>
        <v>OK</v>
      </c>
    </row>
    <row r="33" customFormat="false" ht="18" hidden="false" customHeight="true" outlineLevel="0" collapsed="false">
      <c r="A33" s="10" t="s">
        <v>40</v>
      </c>
      <c r="B33" s="6" t="s">
        <v>80</v>
      </c>
      <c r="C33" s="4" t="s">
        <v>81</v>
      </c>
      <c r="D33" s="13" t="n">
        <v>0.35</v>
      </c>
      <c r="E33" s="16" t="n">
        <f aca="false">SUMIF($A$11:$A$18,A33,$C$11:$C$18)*D33</f>
        <v>0.0315</v>
      </c>
    </row>
    <row r="34" customFormat="false" ht="18" hidden="false" customHeight="true" outlineLevel="0" collapsed="false">
      <c r="A34" s="10" t="s">
        <v>40</v>
      </c>
      <c r="B34" s="6" t="s">
        <v>82</v>
      </c>
      <c r="C34" s="4" t="s">
        <v>83</v>
      </c>
      <c r="D34" s="13" t="n">
        <v>0.3</v>
      </c>
      <c r="E34" s="16" t="n">
        <f aca="false">SUMIF($A$11:$A$18,A34,$C$11:$C$18)*D34</f>
        <v>0.027</v>
      </c>
    </row>
    <row r="35" customFormat="false" ht="30" hidden="false" customHeight="true" outlineLevel="0" collapsed="false">
      <c r="A35" s="10" t="s">
        <v>42</v>
      </c>
      <c r="B35" s="6" t="s">
        <v>84</v>
      </c>
      <c r="C35" s="4" t="s">
        <v>85</v>
      </c>
      <c r="D35" s="13" t="n">
        <v>0.3</v>
      </c>
      <c r="E35" s="16" t="n">
        <f aca="false">SUMIF($A$11:$A$18,A35,$C$11:$C$18)*D35</f>
        <v>0.027</v>
      </c>
      <c r="F35" s="17" t="n">
        <f aca="false">SUM(D35:D37)</f>
        <v>1</v>
      </c>
      <c r="G35" s="6" t="str">
        <f aca="false">IF(ROUND(F35,4)=1,"OK","Revisar")</f>
        <v>OK</v>
      </c>
    </row>
    <row r="36" customFormat="false" ht="18" hidden="false" customHeight="true" outlineLevel="0" collapsed="false">
      <c r="A36" s="10" t="s">
        <v>42</v>
      </c>
      <c r="B36" s="6" t="s">
        <v>86</v>
      </c>
      <c r="C36" s="4" t="s">
        <v>87</v>
      </c>
      <c r="D36" s="13" t="n">
        <v>0.35</v>
      </c>
      <c r="E36" s="16" t="n">
        <f aca="false">SUMIF($A$11:$A$18,A36,$C$11:$C$18)*D36</f>
        <v>0.0315</v>
      </c>
    </row>
    <row r="37" customFormat="false" ht="18" hidden="false" customHeight="true" outlineLevel="0" collapsed="false">
      <c r="A37" s="10" t="s">
        <v>42</v>
      </c>
      <c r="B37" s="6" t="s">
        <v>88</v>
      </c>
      <c r="C37" s="4" t="s">
        <v>89</v>
      </c>
      <c r="D37" s="13" t="n">
        <v>0.35</v>
      </c>
      <c r="E37" s="16" t="n">
        <f aca="false">SUMIF($A$11:$A$18,A37,$C$11:$C$18)*D37</f>
        <v>0.0315</v>
      </c>
    </row>
    <row r="38" customFormat="false" ht="30" hidden="false" customHeight="true" outlineLevel="0" collapsed="false">
      <c r="A38" s="10" t="s">
        <v>44</v>
      </c>
      <c r="B38" s="6" t="s">
        <v>90</v>
      </c>
      <c r="C38" s="4" t="s">
        <v>91</v>
      </c>
      <c r="D38" s="13" t="n">
        <v>0.25</v>
      </c>
      <c r="E38" s="16" t="n">
        <f aca="false">SUMIF($A$11:$A$18,A38,$C$11:$C$18)*D38</f>
        <v>0.0325</v>
      </c>
      <c r="F38" s="17" t="n">
        <f aca="false">SUM(D38:D41)</f>
        <v>1</v>
      </c>
      <c r="G38" s="6" t="str">
        <f aca="false">IF(ROUND(F38,4)=1,"OK","Revisar")</f>
        <v>OK</v>
      </c>
    </row>
    <row r="39" customFormat="false" ht="30" hidden="false" customHeight="true" outlineLevel="0" collapsed="false">
      <c r="A39" s="10" t="s">
        <v>44</v>
      </c>
      <c r="B39" s="6" t="s">
        <v>92</v>
      </c>
      <c r="C39" s="4" t="s">
        <v>93</v>
      </c>
      <c r="D39" s="13" t="n">
        <v>0.25</v>
      </c>
      <c r="E39" s="16" t="n">
        <f aca="false">SUMIF($A$11:$A$18,A39,$C$11:$C$18)*D39</f>
        <v>0.0325</v>
      </c>
    </row>
    <row r="40" customFormat="false" ht="18" hidden="false" customHeight="true" outlineLevel="0" collapsed="false">
      <c r="A40" s="10" t="s">
        <v>44</v>
      </c>
      <c r="B40" s="6" t="s">
        <v>94</v>
      </c>
      <c r="C40" s="4" t="s">
        <v>95</v>
      </c>
      <c r="D40" s="13" t="n">
        <v>0.25</v>
      </c>
      <c r="E40" s="16" t="n">
        <f aca="false">SUMIF($A$11:$A$18,A40,$C$11:$C$18)*D40</f>
        <v>0.0325</v>
      </c>
    </row>
    <row r="41" customFormat="false" ht="18" hidden="false" customHeight="true" outlineLevel="0" collapsed="false">
      <c r="A41" s="10" t="s">
        <v>44</v>
      </c>
      <c r="B41" s="6" t="s">
        <v>96</v>
      </c>
      <c r="C41" s="4" t="s">
        <v>97</v>
      </c>
      <c r="D41" s="13" t="n">
        <v>0.25</v>
      </c>
      <c r="E41" s="16" t="n">
        <f aca="false">SUMIF($A$11:$A$18,A41,$C$11:$C$18)*D41</f>
        <v>0.0325</v>
      </c>
    </row>
    <row r="42" customFormat="false" ht="18" hidden="false" customHeight="true" outlineLevel="0" collapsed="false">
      <c r="A42" s="10" t="s">
        <v>46</v>
      </c>
      <c r="B42" s="6" t="s">
        <v>98</v>
      </c>
      <c r="C42" s="4" t="s">
        <v>99</v>
      </c>
      <c r="D42" s="13" t="n">
        <v>0.3</v>
      </c>
      <c r="E42" s="16" t="n">
        <f aca="false">SUMIF($A$11:$A$18,A42,$C$11:$C$18)*D42</f>
        <v>0.042</v>
      </c>
      <c r="F42" s="17" t="n">
        <f aca="false">SUM(D42:D45)</f>
        <v>1</v>
      </c>
      <c r="G42" s="6" t="str">
        <f aca="false">IF(ROUND(F42,4)=1,"OK","Revisar")</f>
        <v>OK</v>
      </c>
    </row>
    <row r="43" customFormat="false" ht="30" hidden="false" customHeight="true" outlineLevel="0" collapsed="false">
      <c r="A43" s="10" t="s">
        <v>46</v>
      </c>
      <c r="B43" s="6" t="s">
        <v>100</v>
      </c>
      <c r="C43" s="4" t="s">
        <v>101</v>
      </c>
      <c r="D43" s="13" t="n">
        <v>0.25</v>
      </c>
      <c r="E43" s="16" t="n">
        <f aca="false">SUMIF($A$11:$A$18,A43,$C$11:$C$18)*D43</f>
        <v>0.035</v>
      </c>
    </row>
    <row r="44" customFormat="false" ht="18" hidden="false" customHeight="true" outlineLevel="0" collapsed="false">
      <c r="A44" s="10" t="s">
        <v>46</v>
      </c>
      <c r="B44" s="6" t="s">
        <v>102</v>
      </c>
      <c r="C44" s="4" t="s">
        <v>103</v>
      </c>
      <c r="D44" s="13" t="n">
        <v>0.3</v>
      </c>
      <c r="E44" s="16" t="n">
        <f aca="false">SUMIF($A$11:$A$18,A44,$C$11:$C$18)*D44</f>
        <v>0.042</v>
      </c>
    </row>
    <row r="45" customFormat="false" ht="18" hidden="false" customHeight="true" outlineLevel="0" collapsed="false">
      <c r="A45" s="10" t="s">
        <v>46</v>
      </c>
      <c r="B45" s="6" t="s">
        <v>104</v>
      </c>
      <c r="C45" s="4" t="s">
        <v>105</v>
      </c>
      <c r="D45" s="13" t="n">
        <v>0.15</v>
      </c>
      <c r="E45" s="16" t="n">
        <f aca="false">SUMIF($A$11:$A$18,A45,$C$11:$C$18)*D45</f>
        <v>0.021</v>
      </c>
    </row>
    <row r="46" customFormat="false" ht="18" hidden="false" customHeight="true" outlineLevel="0" collapsed="false">
      <c r="A46" s="10" t="s">
        <v>48</v>
      </c>
      <c r="B46" s="6" t="s">
        <v>106</v>
      </c>
      <c r="C46" s="4" t="s">
        <v>107</v>
      </c>
      <c r="D46" s="13" t="n">
        <v>0.3</v>
      </c>
      <c r="E46" s="16" t="n">
        <f aca="false">SUMIF($A$11:$A$18,A46,$C$11:$C$18)*D46</f>
        <v>0.039</v>
      </c>
      <c r="F46" s="17" t="n">
        <f aca="false">SUM(D46:D49)</f>
        <v>1</v>
      </c>
      <c r="G46" s="6" t="str">
        <f aca="false">IF(ROUND(F46,4)=1,"OK","Revisar")</f>
        <v>OK</v>
      </c>
    </row>
    <row r="47" customFormat="false" ht="18" hidden="false" customHeight="true" outlineLevel="0" collapsed="false">
      <c r="A47" s="10" t="s">
        <v>48</v>
      </c>
      <c r="B47" s="6" t="s">
        <v>108</v>
      </c>
      <c r="C47" s="4" t="s">
        <v>109</v>
      </c>
      <c r="D47" s="13" t="n">
        <v>0.25</v>
      </c>
      <c r="E47" s="16" t="n">
        <f aca="false">SUMIF($A$11:$A$18,A47,$C$11:$C$18)*D47</f>
        <v>0.0325</v>
      </c>
    </row>
    <row r="48" customFormat="false" ht="18" hidden="false" customHeight="true" outlineLevel="0" collapsed="false">
      <c r="A48" s="10" t="s">
        <v>48</v>
      </c>
      <c r="B48" s="6" t="s">
        <v>110</v>
      </c>
      <c r="C48" s="4" t="s">
        <v>111</v>
      </c>
      <c r="D48" s="13" t="n">
        <v>0.25</v>
      </c>
      <c r="E48" s="16" t="n">
        <f aca="false">SUMIF($A$11:$A$18,A48,$C$11:$C$18)*D48</f>
        <v>0.0325</v>
      </c>
    </row>
    <row r="49" customFormat="false" ht="18" hidden="false" customHeight="true" outlineLevel="0" collapsed="false">
      <c r="A49" s="10" t="s">
        <v>48</v>
      </c>
      <c r="B49" s="6" t="s">
        <v>112</v>
      </c>
      <c r="C49" s="4" t="s">
        <v>113</v>
      </c>
      <c r="D49" s="13" t="n">
        <v>0.2</v>
      </c>
      <c r="E49" s="16" t="n">
        <f aca="false">SUMIF($A$11:$A$18,A49,$C$11:$C$18)*D49</f>
        <v>0.026</v>
      </c>
    </row>
    <row r="50" customFormat="false" ht="30" hidden="false" customHeight="true" outlineLevel="0" collapsed="false">
      <c r="A50" s="10" t="s">
        <v>50</v>
      </c>
      <c r="B50" s="6" t="s">
        <v>114</v>
      </c>
      <c r="C50" s="4" t="s">
        <v>115</v>
      </c>
      <c r="D50" s="13" t="n">
        <v>0.25</v>
      </c>
      <c r="E50" s="16" t="n">
        <f aca="false">SUMIF($A$11:$A$18,A50,$C$11:$C$18)*D50</f>
        <v>0.025</v>
      </c>
      <c r="F50" s="17" t="n">
        <f aca="false">SUM(D50:D53)</f>
        <v>1</v>
      </c>
      <c r="G50" s="6" t="str">
        <f aca="false">IF(ROUND(F50,4)=1,"OK","Revisar")</f>
        <v>OK</v>
      </c>
    </row>
    <row r="51" customFormat="false" ht="30" hidden="false" customHeight="true" outlineLevel="0" collapsed="false">
      <c r="A51" s="10" t="s">
        <v>50</v>
      </c>
      <c r="B51" s="6" t="s">
        <v>116</v>
      </c>
      <c r="C51" s="4" t="s">
        <v>117</v>
      </c>
      <c r="D51" s="13" t="n">
        <v>0.3</v>
      </c>
      <c r="E51" s="16" t="n">
        <f aca="false">SUMIF($A$11:$A$18,A51,$C$11:$C$18)*D51</f>
        <v>0.03</v>
      </c>
    </row>
    <row r="52" customFormat="false" ht="30" hidden="false" customHeight="true" outlineLevel="0" collapsed="false">
      <c r="A52" s="10" t="s">
        <v>50</v>
      </c>
      <c r="B52" s="6" t="s">
        <v>118</v>
      </c>
      <c r="C52" s="4" t="s">
        <v>119</v>
      </c>
      <c r="D52" s="13" t="n">
        <v>0.25</v>
      </c>
      <c r="E52" s="16" t="n">
        <f aca="false">SUMIF($A$11:$A$18,A52,$C$11:$C$18)*D52</f>
        <v>0.025</v>
      </c>
    </row>
    <row r="53" customFormat="false" ht="18" hidden="false" customHeight="true" outlineLevel="0" collapsed="false">
      <c r="A53" s="10" t="s">
        <v>50</v>
      </c>
      <c r="B53" s="6" t="s">
        <v>120</v>
      </c>
      <c r="C53" s="4" t="s">
        <v>121</v>
      </c>
      <c r="D53" s="13" t="n">
        <v>0.2</v>
      </c>
      <c r="E53" s="16" t="n">
        <f aca="false">SUMIF($A$11:$A$18,A53,$C$11:$C$18)*D53</f>
        <v>0.02</v>
      </c>
    </row>
    <row r="54" customFormat="false" ht="15" hidden="false" customHeight="false" outlineLevel="0" collapsed="false">
      <c r="C54" s="14" t="s">
        <v>122</v>
      </c>
      <c r="E54" s="18" t="n">
        <f aca="false">SUM(E23:E53)</f>
        <v>1</v>
      </c>
    </row>
  </sheetData>
  <mergeCells count="6">
    <mergeCell ref="A4:D4"/>
    <mergeCell ref="A5:C5"/>
    <mergeCell ref="A6:C6"/>
    <mergeCell ref="A7:C7"/>
    <mergeCell ref="A8:C8"/>
    <mergeCell ref="A21:G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O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66"/>
    <col collapsed="false" customWidth="true" hidden="false" outlineLevel="0" max="4" min="4" style="0" width="12"/>
    <col collapsed="false" customWidth="true" hidden="false" outlineLevel="0" max="15" min="5" style="0" width="8.5"/>
  </cols>
  <sheetData>
    <row r="1" customFormat="false" ht="17.35" hidden="false" customHeight="false" outlineLevel="0" collapsed="false">
      <c r="A1" s="1" t="s">
        <v>123</v>
      </c>
    </row>
    <row r="2" customFormat="false" ht="15" hidden="false" customHeight="false" outlineLevel="0" collapsed="false">
      <c r="A2" s="2" t="s">
        <v>124</v>
      </c>
    </row>
    <row r="4" customFormat="false" ht="24" hidden="false" customHeight="true" outlineLevel="0" collapsed="false">
      <c r="A4" s="12" t="s">
        <v>54</v>
      </c>
      <c r="B4" s="12" t="s">
        <v>33</v>
      </c>
      <c r="C4" s="12" t="s">
        <v>125</v>
      </c>
      <c r="D4" s="12" t="s">
        <v>56</v>
      </c>
      <c r="E4" s="12" t="s">
        <v>78</v>
      </c>
      <c r="F4" s="12" t="s">
        <v>80</v>
      </c>
      <c r="G4" s="12" t="s">
        <v>82</v>
      </c>
      <c r="H4" s="12" t="s">
        <v>126</v>
      </c>
      <c r="I4" s="12" t="s">
        <v>127</v>
      </c>
      <c r="J4" s="12" t="s">
        <v>128</v>
      </c>
      <c r="K4" s="12" t="s">
        <v>129</v>
      </c>
      <c r="L4" s="12" t="s">
        <v>130</v>
      </c>
      <c r="M4" s="12" t="s">
        <v>131</v>
      </c>
      <c r="N4" s="12" t="s">
        <v>132</v>
      </c>
      <c r="O4" s="12" t="s">
        <v>133</v>
      </c>
    </row>
    <row r="5" customFormat="false" ht="30" hidden="false" customHeight="true" outlineLevel="0" collapsed="false">
      <c r="A5" s="19" t="s">
        <v>36</v>
      </c>
      <c r="B5" s="20" t="s">
        <v>60</v>
      </c>
      <c r="C5" s="4" t="s">
        <v>61</v>
      </c>
      <c r="D5" s="21" t="n">
        <f aca="false">Rúbrica!D23</f>
        <v>0.25</v>
      </c>
      <c r="E5" s="22" t="n">
        <v>1</v>
      </c>
      <c r="F5" s="22" t="n">
        <v>2</v>
      </c>
      <c r="G5" s="22" t="n">
        <v>2</v>
      </c>
      <c r="H5" s="22" t="n">
        <v>1</v>
      </c>
      <c r="I5" s="22" t="n">
        <v>1</v>
      </c>
      <c r="J5" s="22" t="n">
        <v>2</v>
      </c>
      <c r="K5" s="22" t="n">
        <v>2</v>
      </c>
      <c r="L5" s="22" t="n">
        <v>2</v>
      </c>
      <c r="M5" s="22" t="n">
        <v>1</v>
      </c>
      <c r="N5" s="22" t="n">
        <v>1</v>
      </c>
      <c r="O5" s="22" t="n">
        <v>1</v>
      </c>
    </row>
    <row r="6" customFormat="false" ht="30" hidden="false" customHeight="true" outlineLevel="0" collapsed="false">
      <c r="A6" s="19" t="s">
        <v>36</v>
      </c>
      <c r="B6" s="20" t="s">
        <v>62</v>
      </c>
      <c r="C6" s="4" t="s">
        <v>63</v>
      </c>
      <c r="D6" s="21" t="n">
        <f aca="false">Rúbrica!D24</f>
        <v>0.25</v>
      </c>
      <c r="E6" s="22" t="n">
        <v>1</v>
      </c>
      <c r="F6" s="22" t="n">
        <v>1</v>
      </c>
      <c r="G6" s="22" t="n">
        <v>1</v>
      </c>
      <c r="H6" s="22" t="n">
        <v>1</v>
      </c>
      <c r="I6" s="22" t="n">
        <v>1</v>
      </c>
      <c r="J6" s="22" t="n">
        <v>1</v>
      </c>
      <c r="K6" s="22" t="n">
        <v>1</v>
      </c>
      <c r="L6" s="22" t="n">
        <v>2</v>
      </c>
      <c r="M6" s="22" t="n">
        <v>0</v>
      </c>
      <c r="N6" s="22" t="n">
        <v>0</v>
      </c>
      <c r="O6" s="22" t="n">
        <v>0</v>
      </c>
    </row>
    <row r="7" customFormat="false" ht="30" hidden="false" customHeight="true" outlineLevel="0" collapsed="false">
      <c r="A7" s="19" t="s">
        <v>36</v>
      </c>
      <c r="B7" s="20" t="s">
        <v>64</v>
      </c>
      <c r="C7" s="4" t="s">
        <v>65</v>
      </c>
      <c r="D7" s="21" t="n">
        <f aca="false">Rúbrica!D25</f>
        <v>0.2</v>
      </c>
      <c r="E7" s="22" t="n">
        <v>0</v>
      </c>
      <c r="F7" s="22" t="n">
        <v>1</v>
      </c>
      <c r="G7" s="22" t="n">
        <v>1</v>
      </c>
      <c r="H7" s="22" t="n">
        <v>1</v>
      </c>
      <c r="I7" s="22" t="n">
        <v>1</v>
      </c>
      <c r="J7" s="22" t="n">
        <v>1</v>
      </c>
      <c r="K7" s="22" t="n">
        <v>1</v>
      </c>
      <c r="L7" s="22" t="n">
        <v>2</v>
      </c>
      <c r="M7" s="22" t="n">
        <v>0</v>
      </c>
      <c r="N7" s="22" t="n">
        <v>0</v>
      </c>
      <c r="O7" s="22" t="n">
        <v>0</v>
      </c>
    </row>
    <row r="8" customFormat="false" ht="30" hidden="false" customHeight="true" outlineLevel="0" collapsed="false">
      <c r="A8" s="19" t="s">
        <v>36</v>
      </c>
      <c r="B8" s="20" t="s">
        <v>66</v>
      </c>
      <c r="C8" s="4" t="s">
        <v>67</v>
      </c>
      <c r="D8" s="21" t="n">
        <f aca="false">Rúbrica!D26</f>
        <v>0.15</v>
      </c>
      <c r="E8" s="22" t="n">
        <v>1</v>
      </c>
      <c r="F8" s="22" t="n">
        <v>2</v>
      </c>
      <c r="G8" s="22" t="n">
        <v>2</v>
      </c>
      <c r="H8" s="22" t="n">
        <v>1</v>
      </c>
      <c r="I8" s="22" t="n">
        <v>0</v>
      </c>
      <c r="J8" s="22" t="n">
        <v>2</v>
      </c>
      <c r="K8" s="22" t="n">
        <v>2</v>
      </c>
      <c r="L8" s="22" t="n">
        <v>2</v>
      </c>
      <c r="M8" s="22" t="n">
        <v>1</v>
      </c>
      <c r="N8" s="22" t="n">
        <v>2</v>
      </c>
      <c r="O8" s="22" t="n">
        <v>1</v>
      </c>
    </row>
    <row r="9" customFormat="false" ht="30" hidden="false" customHeight="true" outlineLevel="0" collapsed="false">
      <c r="A9" s="19" t="s">
        <v>36</v>
      </c>
      <c r="B9" s="20" t="s">
        <v>68</v>
      </c>
      <c r="C9" s="4" t="s">
        <v>69</v>
      </c>
      <c r="D9" s="21" t="n">
        <f aca="false">Rúbrica!D27</f>
        <v>0.15</v>
      </c>
      <c r="E9" s="22" t="n">
        <v>1</v>
      </c>
      <c r="F9" s="22" t="n">
        <v>1</v>
      </c>
      <c r="G9" s="22" t="n">
        <v>2</v>
      </c>
      <c r="H9" s="22" t="n">
        <v>1</v>
      </c>
      <c r="I9" s="22" t="n">
        <v>1</v>
      </c>
      <c r="J9" s="22" t="n">
        <v>2</v>
      </c>
      <c r="K9" s="22" t="n">
        <v>2</v>
      </c>
      <c r="L9" s="22" t="n">
        <v>2</v>
      </c>
      <c r="M9" s="22" t="n">
        <v>1</v>
      </c>
      <c r="N9" s="22" t="n">
        <v>2</v>
      </c>
      <c r="O9" s="22" t="n">
        <v>1</v>
      </c>
    </row>
    <row r="10" customFormat="false" ht="30" hidden="false" customHeight="true" outlineLevel="0" collapsed="false">
      <c r="A10" s="19" t="s">
        <v>38</v>
      </c>
      <c r="B10" s="20" t="s">
        <v>70</v>
      </c>
      <c r="C10" s="4" t="s">
        <v>71</v>
      </c>
      <c r="D10" s="21" t="n">
        <f aca="false">Rúbrica!D28</f>
        <v>0.3</v>
      </c>
      <c r="E10" s="22" t="n">
        <v>1</v>
      </c>
      <c r="F10" s="22" t="n">
        <v>1</v>
      </c>
      <c r="G10" s="22" t="n">
        <v>2</v>
      </c>
      <c r="H10" s="22" t="n">
        <v>2</v>
      </c>
      <c r="I10" s="22" t="n">
        <v>2</v>
      </c>
      <c r="J10" s="22" t="n">
        <v>2</v>
      </c>
      <c r="K10" s="22" t="n">
        <v>2</v>
      </c>
      <c r="L10" s="22" t="n">
        <v>2</v>
      </c>
      <c r="M10" s="22" t="n">
        <v>2</v>
      </c>
      <c r="N10" s="22" t="n">
        <v>2</v>
      </c>
      <c r="O10" s="22" t="n">
        <v>2</v>
      </c>
    </row>
    <row r="11" customFormat="false" ht="18" hidden="false" customHeight="true" outlineLevel="0" collapsed="false">
      <c r="A11" s="19" t="s">
        <v>38</v>
      </c>
      <c r="B11" s="20" t="s">
        <v>72</v>
      </c>
      <c r="C11" s="4" t="s">
        <v>73</v>
      </c>
      <c r="D11" s="21" t="n">
        <f aca="false">Rúbrica!D29</f>
        <v>0.3</v>
      </c>
      <c r="E11" s="22" t="n">
        <v>1</v>
      </c>
      <c r="F11" s="22" t="n">
        <v>2</v>
      </c>
      <c r="G11" s="22" t="n">
        <v>2</v>
      </c>
      <c r="H11" s="22" t="n">
        <v>2</v>
      </c>
      <c r="I11" s="22" t="n">
        <v>1</v>
      </c>
      <c r="J11" s="22" t="n">
        <v>2</v>
      </c>
      <c r="K11" s="22" t="n">
        <v>2</v>
      </c>
      <c r="L11" s="22" t="n">
        <v>2</v>
      </c>
      <c r="M11" s="22" t="n">
        <v>2</v>
      </c>
      <c r="N11" s="22" t="n">
        <v>1</v>
      </c>
      <c r="O11" s="22" t="n">
        <v>2</v>
      </c>
    </row>
    <row r="12" customFormat="false" ht="30" hidden="false" customHeight="true" outlineLevel="0" collapsed="false">
      <c r="A12" s="19" t="s">
        <v>38</v>
      </c>
      <c r="B12" s="20" t="s">
        <v>74</v>
      </c>
      <c r="C12" s="4" t="s">
        <v>75</v>
      </c>
      <c r="D12" s="21" t="n">
        <f aca="false">Rúbrica!D30</f>
        <v>0.2</v>
      </c>
      <c r="E12" s="22" t="n">
        <v>1</v>
      </c>
      <c r="F12" s="22" t="n">
        <v>1</v>
      </c>
      <c r="G12" s="22" t="n">
        <v>2</v>
      </c>
      <c r="H12" s="22" t="n">
        <v>2</v>
      </c>
      <c r="I12" s="22" t="n">
        <v>1</v>
      </c>
      <c r="J12" s="22" t="n">
        <v>2</v>
      </c>
      <c r="K12" s="22" t="n">
        <v>2</v>
      </c>
      <c r="L12" s="22" t="n">
        <v>2</v>
      </c>
      <c r="M12" s="22" t="n">
        <v>2</v>
      </c>
      <c r="N12" s="22" t="n">
        <v>2</v>
      </c>
      <c r="O12" s="22" t="n">
        <v>1</v>
      </c>
    </row>
    <row r="13" customFormat="false" ht="18" hidden="false" customHeight="true" outlineLevel="0" collapsed="false">
      <c r="A13" s="19" t="s">
        <v>38</v>
      </c>
      <c r="B13" s="20" t="s">
        <v>76</v>
      </c>
      <c r="C13" s="4" t="s">
        <v>77</v>
      </c>
      <c r="D13" s="21" t="n">
        <f aca="false">Rúbrica!D31</f>
        <v>0.2</v>
      </c>
      <c r="E13" s="22" t="n">
        <v>1</v>
      </c>
      <c r="F13" s="22" t="n">
        <v>1</v>
      </c>
      <c r="G13" s="22" t="n">
        <v>2</v>
      </c>
      <c r="H13" s="22" t="n">
        <v>2</v>
      </c>
      <c r="I13" s="22" t="n">
        <v>1</v>
      </c>
      <c r="J13" s="22" t="n">
        <v>2</v>
      </c>
      <c r="K13" s="22" t="n">
        <v>2</v>
      </c>
      <c r="L13" s="22" t="n">
        <v>1</v>
      </c>
      <c r="M13" s="22" t="n">
        <v>1</v>
      </c>
      <c r="N13" s="22" t="n">
        <v>2</v>
      </c>
      <c r="O13" s="22" t="n">
        <v>2</v>
      </c>
    </row>
    <row r="14" customFormat="false" ht="30" hidden="false" customHeight="true" outlineLevel="0" collapsed="false">
      <c r="A14" s="19" t="s">
        <v>40</v>
      </c>
      <c r="B14" s="20" t="s">
        <v>78</v>
      </c>
      <c r="C14" s="4" t="s">
        <v>79</v>
      </c>
      <c r="D14" s="21" t="n">
        <f aca="false">Rúbrica!D32</f>
        <v>0.35</v>
      </c>
      <c r="E14" s="22" t="n">
        <v>1</v>
      </c>
      <c r="F14" s="22" t="n">
        <v>2</v>
      </c>
      <c r="G14" s="22" t="n">
        <v>2</v>
      </c>
      <c r="H14" s="22" t="n">
        <v>2</v>
      </c>
      <c r="I14" s="22" t="n">
        <v>2</v>
      </c>
      <c r="J14" s="22" t="n">
        <v>2</v>
      </c>
      <c r="K14" s="22" t="n">
        <v>2</v>
      </c>
      <c r="L14" s="22" t="n">
        <v>1</v>
      </c>
      <c r="M14" s="22" t="n">
        <v>1</v>
      </c>
      <c r="N14" s="22" t="n">
        <v>2</v>
      </c>
      <c r="O14" s="22" t="n">
        <v>2</v>
      </c>
    </row>
    <row r="15" customFormat="false" ht="30" hidden="false" customHeight="true" outlineLevel="0" collapsed="false">
      <c r="A15" s="19" t="s">
        <v>40</v>
      </c>
      <c r="B15" s="20" t="s">
        <v>80</v>
      </c>
      <c r="C15" s="4" t="s">
        <v>81</v>
      </c>
      <c r="D15" s="21" t="n">
        <f aca="false">Rúbrica!D33</f>
        <v>0.35</v>
      </c>
      <c r="E15" s="22" t="n">
        <v>0</v>
      </c>
      <c r="F15" s="22" t="n">
        <v>2</v>
      </c>
      <c r="G15" s="22" t="n">
        <v>2</v>
      </c>
      <c r="H15" s="22" t="n">
        <v>2</v>
      </c>
      <c r="I15" s="22" t="n">
        <v>2</v>
      </c>
      <c r="J15" s="22" t="n">
        <v>2</v>
      </c>
      <c r="K15" s="22" t="n">
        <v>2</v>
      </c>
      <c r="L15" s="22" t="n">
        <v>2</v>
      </c>
      <c r="M15" s="22" t="n">
        <v>1</v>
      </c>
      <c r="N15" s="22" t="n">
        <v>2</v>
      </c>
      <c r="O15" s="22" t="n">
        <v>2</v>
      </c>
    </row>
    <row r="16" customFormat="false" ht="18" hidden="false" customHeight="true" outlineLevel="0" collapsed="false">
      <c r="A16" s="19" t="s">
        <v>40</v>
      </c>
      <c r="B16" s="20" t="s">
        <v>82</v>
      </c>
      <c r="C16" s="4" t="s">
        <v>83</v>
      </c>
      <c r="D16" s="21" t="n">
        <f aca="false">Rúbrica!D34</f>
        <v>0.3</v>
      </c>
      <c r="E16" s="22" t="n">
        <v>1</v>
      </c>
      <c r="F16" s="22" t="n">
        <v>2</v>
      </c>
      <c r="G16" s="22" t="n">
        <v>2</v>
      </c>
      <c r="H16" s="22" t="n">
        <v>2</v>
      </c>
      <c r="I16" s="22" t="n">
        <v>2</v>
      </c>
      <c r="J16" s="22" t="n">
        <v>2</v>
      </c>
      <c r="K16" s="22" t="n">
        <v>2</v>
      </c>
      <c r="L16" s="22" t="n">
        <v>2</v>
      </c>
      <c r="M16" s="22" t="n">
        <v>2</v>
      </c>
      <c r="N16" s="22" t="n">
        <v>2</v>
      </c>
      <c r="O16" s="22" t="n">
        <v>2</v>
      </c>
    </row>
    <row r="17" customFormat="false" ht="30" hidden="false" customHeight="true" outlineLevel="0" collapsed="false">
      <c r="A17" s="19" t="s">
        <v>42</v>
      </c>
      <c r="B17" s="20" t="s">
        <v>84</v>
      </c>
      <c r="C17" s="4" t="s">
        <v>85</v>
      </c>
      <c r="D17" s="21" t="n">
        <f aca="false">Rúbrica!D35</f>
        <v>0.3</v>
      </c>
      <c r="E17" s="22" t="n">
        <v>1</v>
      </c>
      <c r="F17" s="22" t="n">
        <v>1</v>
      </c>
      <c r="G17" s="22" t="n">
        <v>1</v>
      </c>
      <c r="H17" s="22" t="n">
        <v>2</v>
      </c>
      <c r="I17" s="22" t="n">
        <v>1</v>
      </c>
      <c r="J17" s="22" t="n">
        <v>1</v>
      </c>
      <c r="K17" s="22" t="n">
        <v>2</v>
      </c>
      <c r="L17" s="22" t="n">
        <v>2</v>
      </c>
      <c r="M17" s="22" t="n">
        <v>0</v>
      </c>
      <c r="N17" s="22" t="n">
        <v>1</v>
      </c>
      <c r="O17" s="22" t="n">
        <v>1</v>
      </c>
    </row>
    <row r="18" customFormat="false" ht="30" hidden="false" customHeight="true" outlineLevel="0" collapsed="false">
      <c r="A18" s="19" t="s">
        <v>42</v>
      </c>
      <c r="B18" s="20" t="s">
        <v>86</v>
      </c>
      <c r="C18" s="4" t="s">
        <v>87</v>
      </c>
      <c r="D18" s="21" t="n">
        <f aca="false">Rúbrica!D36</f>
        <v>0.35</v>
      </c>
      <c r="E18" s="22" t="n">
        <v>1</v>
      </c>
      <c r="F18" s="22" t="n">
        <v>1</v>
      </c>
      <c r="G18" s="22" t="n">
        <v>1</v>
      </c>
      <c r="H18" s="22" t="n">
        <v>1</v>
      </c>
      <c r="I18" s="22" t="n">
        <v>1</v>
      </c>
      <c r="J18" s="22" t="n">
        <v>2</v>
      </c>
      <c r="K18" s="22" t="n">
        <v>2</v>
      </c>
      <c r="L18" s="22" t="n">
        <v>1</v>
      </c>
      <c r="M18" s="22" t="n">
        <v>1</v>
      </c>
      <c r="N18" s="22" t="n">
        <v>2</v>
      </c>
      <c r="O18" s="22" t="n">
        <v>2</v>
      </c>
    </row>
    <row r="19" customFormat="false" ht="18" hidden="false" customHeight="true" outlineLevel="0" collapsed="false">
      <c r="A19" s="19" t="s">
        <v>42</v>
      </c>
      <c r="B19" s="20" t="s">
        <v>88</v>
      </c>
      <c r="C19" s="4" t="s">
        <v>89</v>
      </c>
      <c r="D19" s="21" t="n">
        <f aca="false">Rúbrica!D37</f>
        <v>0.35</v>
      </c>
      <c r="E19" s="22" t="n">
        <v>2</v>
      </c>
      <c r="F19" s="22" t="n">
        <v>0</v>
      </c>
      <c r="G19" s="22" t="n">
        <v>2</v>
      </c>
      <c r="H19" s="22" t="n">
        <v>1</v>
      </c>
      <c r="I19" s="22" t="n">
        <v>1</v>
      </c>
      <c r="J19" s="22" t="n">
        <v>1</v>
      </c>
      <c r="K19" s="22" t="n">
        <v>2</v>
      </c>
      <c r="L19" s="22" t="n">
        <v>1</v>
      </c>
      <c r="M19" s="22" t="n">
        <v>1</v>
      </c>
      <c r="N19" s="22" t="n">
        <v>2</v>
      </c>
      <c r="O19" s="22" t="n">
        <v>1</v>
      </c>
    </row>
    <row r="20" customFormat="false" ht="30" hidden="false" customHeight="true" outlineLevel="0" collapsed="false">
      <c r="A20" s="19" t="s">
        <v>44</v>
      </c>
      <c r="B20" s="20" t="s">
        <v>90</v>
      </c>
      <c r="C20" s="4" t="s">
        <v>91</v>
      </c>
      <c r="D20" s="21" t="n">
        <f aca="false">Rúbrica!D38</f>
        <v>0.25</v>
      </c>
      <c r="E20" s="22" t="n">
        <v>1</v>
      </c>
      <c r="F20" s="22" t="n">
        <v>1</v>
      </c>
      <c r="G20" s="22" t="n">
        <v>2</v>
      </c>
      <c r="H20" s="22" t="n">
        <v>1</v>
      </c>
      <c r="I20" s="22" t="n">
        <v>1</v>
      </c>
      <c r="J20" s="22" t="n">
        <v>1</v>
      </c>
      <c r="K20" s="22" t="n">
        <v>2</v>
      </c>
      <c r="L20" s="22" t="n">
        <v>2</v>
      </c>
      <c r="M20" s="22" t="n">
        <v>1</v>
      </c>
      <c r="N20" s="22" t="n">
        <v>2</v>
      </c>
      <c r="O20" s="22" t="n">
        <v>2</v>
      </c>
    </row>
    <row r="21" customFormat="false" ht="30" hidden="false" customHeight="true" outlineLevel="0" collapsed="false">
      <c r="A21" s="19" t="s">
        <v>44</v>
      </c>
      <c r="B21" s="20" t="s">
        <v>92</v>
      </c>
      <c r="C21" s="4" t="s">
        <v>93</v>
      </c>
      <c r="D21" s="21" t="n">
        <f aca="false">Rúbrica!D39</f>
        <v>0.25</v>
      </c>
      <c r="E21" s="22" t="n">
        <v>1</v>
      </c>
      <c r="F21" s="22" t="n">
        <v>2</v>
      </c>
      <c r="G21" s="22" t="n">
        <v>2</v>
      </c>
      <c r="H21" s="22" t="n">
        <v>2</v>
      </c>
      <c r="I21" s="22" t="n">
        <v>1</v>
      </c>
      <c r="J21" s="22" t="n">
        <v>1</v>
      </c>
      <c r="K21" s="22" t="n">
        <v>2</v>
      </c>
      <c r="L21" s="22" t="n">
        <v>2</v>
      </c>
      <c r="M21" s="22" t="n">
        <v>2</v>
      </c>
      <c r="N21" s="22" t="n">
        <v>1</v>
      </c>
      <c r="O21" s="22" t="n">
        <v>2</v>
      </c>
    </row>
    <row r="22" customFormat="false" ht="30" hidden="false" customHeight="true" outlineLevel="0" collapsed="false">
      <c r="A22" s="19" t="s">
        <v>44</v>
      </c>
      <c r="B22" s="20" t="s">
        <v>94</v>
      </c>
      <c r="C22" s="4" t="s">
        <v>95</v>
      </c>
      <c r="D22" s="21" t="n">
        <f aca="false">Rúbrica!D40</f>
        <v>0.25</v>
      </c>
      <c r="E22" s="22" t="n">
        <v>0</v>
      </c>
      <c r="F22" s="22" t="n">
        <v>1</v>
      </c>
      <c r="G22" s="22" t="n">
        <v>1</v>
      </c>
      <c r="H22" s="22" t="n">
        <v>1</v>
      </c>
      <c r="I22" s="22" t="n">
        <v>0</v>
      </c>
      <c r="J22" s="22" t="n">
        <v>1</v>
      </c>
      <c r="K22" s="22" t="n">
        <v>2</v>
      </c>
      <c r="L22" s="22" t="n">
        <v>2</v>
      </c>
      <c r="M22" s="22" t="n">
        <v>0</v>
      </c>
      <c r="N22" s="22" t="n">
        <v>1</v>
      </c>
      <c r="O22" s="22" t="n">
        <v>1</v>
      </c>
    </row>
    <row r="23" customFormat="false" ht="30" hidden="false" customHeight="true" outlineLevel="0" collapsed="false">
      <c r="A23" s="19" t="s">
        <v>44</v>
      </c>
      <c r="B23" s="20" t="s">
        <v>96</v>
      </c>
      <c r="C23" s="4" t="s">
        <v>97</v>
      </c>
      <c r="D23" s="21" t="n">
        <f aca="false">Rúbrica!D41</f>
        <v>0.25</v>
      </c>
      <c r="E23" s="22" t="n">
        <v>1</v>
      </c>
      <c r="F23" s="22" t="n">
        <v>0</v>
      </c>
      <c r="G23" s="22" t="n">
        <v>2</v>
      </c>
      <c r="H23" s="22" t="n">
        <v>1</v>
      </c>
      <c r="I23" s="22" t="n">
        <v>1</v>
      </c>
      <c r="J23" s="22" t="n">
        <v>1</v>
      </c>
      <c r="K23" s="22" t="n">
        <v>1</v>
      </c>
      <c r="L23" s="22" t="n">
        <v>2</v>
      </c>
      <c r="M23" s="22" t="n">
        <v>0</v>
      </c>
      <c r="N23" s="22" t="n">
        <v>2</v>
      </c>
      <c r="O23" s="22" t="n">
        <v>0</v>
      </c>
    </row>
    <row r="24" customFormat="false" ht="18" hidden="false" customHeight="true" outlineLevel="0" collapsed="false">
      <c r="A24" s="19" t="s">
        <v>46</v>
      </c>
      <c r="B24" s="20" t="s">
        <v>98</v>
      </c>
      <c r="C24" s="4" t="s">
        <v>99</v>
      </c>
      <c r="D24" s="21" t="n">
        <f aca="false">Rúbrica!D42</f>
        <v>0.3</v>
      </c>
      <c r="E24" s="22" t="n">
        <v>2</v>
      </c>
      <c r="F24" s="22" t="n">
        <v>1</v>
      </c>
      <c r="G24" s="22" t="n">
        <v>1</v>
      </c>
      <c r="H24" s="22" t="n">
        <v>1</v>
      </c>
      <c r="I24" s="22" t="n">
        <v>1</v>
      </c>
      <c r="J24" s="22" t="n">
        <v>2</v>
      </c>
      <c r="K24" s="22" t="n">
        <v>2</v>
      </c>
      <c r="L24" s="22" t="n">
        <v>1</v>
      </c>
      <c r="M24" s="22" t="n">
        <v>1</v>
      </c>
      <c r="N24" s="22" t="n">
        <v>1</v>
      </c>
      <c r="O24" s="22" t="n">
        <v>1</v>
      </c>
    </row>
    <row r="25" customFormat="false" ht="30" hidden="false" customHeight="true" outlineLevel="0" collapsed="false">
      <c r="A25" s="19" t="s">
        <v>46</v>
      </c>
      <c r="B25" s="20" t="s">
        <v>100</v>
      </c>
      <c r="C25" s="4" t="s">
        <v>101</v>
      </c>
      <c r="D25" s="21" t="n">
        <f aca="false">Rúbrica!D43</f>
        <v>0.25</v>
      </c>
      <c r="E25" s="22" t="n">
        <v>2</v>
      </c>
      <c r="F25" s="22" t="n">
        <v>1</v>
      </c>
      <c r="G25" s="22" t="n">
        <v>2</v>
      </c>
      <c r="H25" s="22" t="n">
        <v>2</v>
      </c>
      <c r="I25" s="22" t="n">
        <v>1</v>
      </c>
      <c r="J25" s="22" t="n">
        <v>2</v>
      </c>
      <c r="K25" s="22" t="n">
        <v>2</v>
      </c>
      <c r="L25" s="22" t="n">
        <v>2</v>
      </c>
      <c r="M25" s="22" t="n">
        <v>1</v>
      </c>
      <c r="N25" s="22" t="n">
        <v>2</v>
      </c>
      <c r="O25" s="22" t="n">
        <v>2</v>
      </c>
    </row>
    <row r="26" customFormat="false" ht="18" hidden="false" customHeight="true" outlineLevel="0" collapsed="false">
      <c r="A26" s="19" t="s">
        <v>46</v>
      </c>
      <c r="B26" s="20" t="s">
        <v>102</v>
      </c>
      <c r="C26" s="4" t="s">
        <v>103</v>
      </c>
      <c r="D26" s="21" t="n">
        <f aca="false">Rúbrica!D44</f>
        <v>0.3</v>
      </c>
      <c r="E26" s="22" t="n">
        <v>0</v>
      </c>
      <c r="F26" s="22" t="n">
        <v>2</v>
      </c>
      <c r="G26" s="22" t="n">
        <v>2</v>
      </c>
      <c r="H26" s="22" t="n">
        <v>2</v>
      </c>
      <c r="I26" s="22" t="n">
        <v>0</v>
      </c>
      <c r="J26" s="22" t="n">
        <v>2</v>
      </c>
      <c r="K26" s="22" t="n">
        <v>2</v>
      </c>
      <c r="L26" s="22" t="n">
        <v>2</v>
      </c>
      <c r="M26" s="22" t="n">
        <v>0</v>
      </c>
      <c r="N26" s="22" t="n">
        <v>1</v>
      </c>
      <c r="O26" s="22" t="n">
        <v>2</v>
      </c>
    </row>
    <row r="27" customFormat="false" ht="18" hidden="false" customHeight="true" outlineLevel="0" collapsed="false">
      <c r="A27" s="19" t="s">
        <v>46</v>
      </c>
      <c r="B27" s="20" t="s">
        <v>104</v>
      </c>
      <c r="C27" s="4" t="s">
        <v>105</v>
      </c>
      <c r="D27" s="21" t="n">
        <f aca="false">Rúbrica!D45</f>
        <v>0.15</v>
      </c>
      <c r="E27" s="22" t="n">
        <v>1</v>
      </c>
      <c r="F27" s="22" t="n">
        <v>2</v>
      </c>
      <c r="G27" s="22" t="n">
        <v>2</v>
      </c>
      <c r="H27" s="22" t="n">
        <v>1</v>
      </c>
      <c r="I27" s="22" t="n">
        <v>1</v>
      </c>
      <c r="J27" s="22" t="n">
        <v>1</v>
      </c>
      <c r="K27" s="22" t="n">
        <v>1</v>
      </c>
      <c r="L27" s="22" t="n">
        <v>1</v>
      </c>
      <c r="M27" s="22" t="n">
        <v>1</v>
      </c>
      <c r="N27" s="22" t="n">
        <v>2</v>
      </c>
      <c r="O27" s="22" t="n">
        <v>1</v>
      </c>
    </row>
    <row r="28" customFormat="false" ht="30" hidden="false" customHeight="true" outlineLevel="0" collapsed="false">
      <c r="A28" s="19" t="s">
        <v>48</v>
      </c>
      <c r="B28" s="20" t="s">
        <v>106</v>
      </c>
      <c r="C28" s="4" t="s">
        <v>107</v>
      </c>
      <c r="D28" s="21" t="n">
        <f aca="false">Rúbrica!D46</f>
        <v>0.3</v>
      </c>
      <c r="E28" s="22" t="n">
        <v>1</v>
      </c>
      <c r="F28" s="22" t="n">
        <v>1</v>
      </c>
      <c r="G28" s="22" t="n">
        <v>1</v>
      </c>
      <c r="H28" s="22" t="n">
        <v>2</v>
      </c>
      <c r="I28" s="22" t="n">
        <v>0</v>
      </c>
      <c r="J28" s="22" t="n">
        <v>2</v>
      </c>
      <c r="K28" s="22" t="n">
        <v>2</v>
      </c>
      <c r="L28" s="22" t="n">
        <v>2</v>
      </c>
      <c r="M28" s="22" t="n">
        <v>1</v>
      </c>
      <c r="N28" s="22" t="n">
        <v>2</v>
      </c>
      <c r="O28" s="22" t="n">
        <v>2</v>
      </c>
    </row>
    <row r="29" customFormat="false" ht="30" hidden="false" customHeight="true" outlineLevel="0" collapsed="false">
      <c r="A29" s="19" t="s">
        <v>48</v>
      </c>
      <c r="B29" s="20" t="s">
        <v>108</v>
      </c>
      <c r="C29" s="4" t="s">
        <v>109</v>
      </c>
      <c r="D29" s="21" t="n">
        <f aca="false">Rúbrica!D47</f>
        <v>0.25</v>
      </c>
      <c r="E29" s="22" t="n">
        <v>1</v>
      </c>
      <c r="F29" s="22" t="n">
        <v>1</v>
      </c>
      <c r="G29" s="22" t="n">
        <v>0</v>
      </c>
      <c r="H29" s="22" t="n">
        <v>1</v>
      </c>
      <c r="I29" s="22" t="n">
        <v>0</v>
      </c>
      <c r="J29" s="22" t="n">
        <v>2</v>
      </c>
      <c r="K29" s="22" t="n">
        <v>2</v>
      </c>
      <c r="L29" s="22" t="n">
        <v>2</v>
      </c>
      <c r="M29" s="22" t="n">
        <v>1</v>
      </c>
      <c r="N29" s="22" t="n">
        <v>2</v>
      </c>
      <c r="O29" s="22" t="n">
        <v>2</v>
      </c>
    </row>
    <row r="30" customFormat="false" ht="30" hidden="false" customHeight="true" outlineLevel="0" collapsed="false">
      <c r="A30" s="19" t="s">
        <v>48</v>
      </c>
      <c r="B30" s="20" t="s">
        <v>110</v>
      </c>
      <c r="C30" s="4" t="s">
        <v>111</v>
      </c>
      <c r="D30" s="21" t="n">
        <f aca="false">Rúbrica!D48</f>
        <v>0.25</v>
      </c>
      <c r="E30" s="22" t="n">
        <v>1</v>
      </c>
      <c r="F30" s="22" t="n">
        <v>1</v>
      </c>
      <c r="G30" s="22" t="n">
        <v>1</v>
      </c>
      <c r="H30" s="22" t="n">
        <v>2</v>
      </c>
      <c r="I30" s="22" t="n">
        <v>1</v>
      </c>
      <c r="J30" s="22" t="n">
        <v>2</v>
      </c>
      <c r="K30" s="22" t="n">
        <v>1</v>
      </c>
      <c r="L30" s="22" t="n">
        <v>2</v>
      </c>
      <c r="M30" s="22" t="n">
        <v>2</v>
      </c>
      <c r="N30" s="22" t="n">
        <v>2</v>
      </c>
      <c r="O30" s="22" t="n">
        <v>2</v>
      </c>
    </row>
    <row r="31" customFormat="false" ht="18" hidden="false" customHeight="true" outlineLevel="0" collapsed="false">
      <c r="A31" s="19" t="s">
        <v>48</v>
      </c>
      <c r="B31" s="20" t="s">
        <v>112</v>
      </c>
      <c r="C31" s="4" t="s">
        <v>113</v>
      </c>
      <c r="D31" s="21" t="n">
        <f aca="false">Rúbrica!D49</f>
        <v>0.2</v>
      </c>
      <c r="E31" s="22" t="n">
        <v>2</v>
      </c>
      <c r="F31" s="22" t="n">
        <v>1</v>
      </c>
      <c r="G31" s="22" t="n">
        <v>1</v>
      </c>
      <c r="H31" s="22" t="n">
        <v>1</v>
      </c>
      <c r="I31" s="22" t="n">
        <v>0</v>
      </c>
      <c r="J31" s="22" t="n">
        <v>2</v>
      </c>
      <c r="K31" s="22" t="n">
        <v>2</v>
      </c>
      <c r="L31" s="22" t="n">
        <v>2</v>
      </c>
      <c r="M31" s="22" t="n">
        <v>1</v>
      </c>
      <c r="N31" s="22" t="n">
        <v>1</v>
      </c>
      <c r="O31" s="22" t="n">
        <v>1</v>
      </c>
    </row>
    <row r="32" customFormat="false" ht="30" hidden="false" customHeight="true" outlineLevel="0" collapsed="false">
      <c r="A32" s="19" t="s">
        <v>50</v>
      </c>
      <c r="B32" s="20" t="s">
        <v>114</v>
      </c>
      <c r="C32" s="4" t="s">
        <v>115</v>
      </c>
      <c r="D32" s="21" t="n">
        <f aca="false">Rúbrica!D50</f>
        <v>0.25</v>
      </c>
      <c r="E32" s="22" t="n">
        <v>1</v>
      </c>
      <c r="F32" s="22" t="n">
        <v>1</v>
      </c>
      <c r="G32" s="22" t="n">
        <v>1</v>
      </c>
      <c r="H32" s="22" t="n">
        <v>1</v>
      </c>
      <c r="I32" s="22" t="n">
        <v>1</v>
      </c>
      <c r="J32" s="22" t="n">
        <v>2</v>
      </c>
      <c r="K32" s="22" t="n">
        <v>2</v>
      </c>
      <c r="L32" s="22" t="n">
        <v>1</v>
      </c>
      <c r="M32" s="22" t="n">
        <v>1</v>
      </c>
      <c r="N32" s="22" t="n">
        <v>1</v>
      </c>
      <c r="O32" s="22" t="n">
        <v>2</v>
      </c>
    </row>
    <row r="33" customFormat="false" ht="30" hidden="false" customHeight="true" outlineLevel="0" collapsed="false">
      <c r="A33" s="19" t="s">
        <v>50</v>
      </c>
      <c r="B33" s="20" t="s">
        <v>116</v>
      </c>
      <c r="C33" s="4" t="s">
        <v>117</v>
      </c>
      <c r="D33" s="21" t="n">
        <f aca="false">Rúbrica!D51</f>
        <v>0.3</v>
      </c>
      <c r="E33" s="22" t="n">
        <v>0</v>
      </c>
      <c r="F33" s="22" t="n">
        <v>1</v>
      </c>
      <c r="G33" s="22" t="n">
        <v>0</v>
      </c>
      <c r="H33" s="22" t="n">
        <v>1</v>
      </c>
      <c r="I33" s="22" t="n">
        <v>0</v>
      </c>
      <c r="J33" s="22" t="n">
        <v>2</v>
      </c>
      <c r="K33" s="22" t="n">
        <v>1</v>
      </c>
      <c r="L33" s="22" t="n">
        <v>2</v>
      </c>
      <c r="M33" s="22" t="n">
        <v>1</v>
      </c>
      <c r="N33" s="22" t="n">
        <v>1</v>
      </c>
      <c r="O33" s="22" t="n">
        <v>1</v>
      </c>
    </row>
    <row r="34" customFormat="false" ht="30" hidden="false" customHeight="true" outlineLevel="0" collapsed="false">
      <c r="A34" s="19" t="s">
        <v>50</v>
      </c>
      <c r="B34" s="20" t="s">
        <v>118</v>
      </c>
      <c r="C34" s="4" t="s">
        <v>119</v>
      </c>
      <c r="D34" s="21" t="n">
        <f aca="false">Rúbrica!D52</f>
        <v>0.25</v>
      </c>
      <c r="E34" s="22" t="n">
        <v>1</v>
      </c>
      <c r="F34" s="22" t="n">
        <v>1</v>
      </c>
      <c r="G34" s="22" t="n">
        <v>0</v>
      </c>
      <c r="H34" s="22" t="n">
        <v>1</v>
      </c>
      <c r="I34" s="22" t="n">
        <v>0</v>
      </c>
      <c r="J34" s="22" t="n">
        <v>2</v>
      </c>
      <c r="K34" s="22" t="n">
        <v>1</v>
      </c>
      <c r="L34" s="22" t="n">
        <v>1</v>
      </c>
      <c r="M34" s="22" t="n">
        <v>0</v>
      </c>
      <c r="N34" s="22" t="n">
        <v>0</v>
      </c>
      <c r="O34" s="22" t="n">
        <v>2</v>
      </c>
    </row>
    <row r="35" customFormat="false" ht="30" hidden="false" customHeight="true" outlineLevel="0" collapsed="false">
      <c r="A35" s="19" t="s">
        <v>50</v>
      </c>
      <c r="B35" s="20" t="s">
        <v>120</v>
      </c>
      <c r="C35" s="4" t="s">
        <v>121</v>
      </c>
      <c r="D35" s="21" t="n">
        <f aca="false">Rúbrica!D53</f>
        <v>0.2</v>
      </c>
      <c r="E35" s="22" t="n">
        <v>0</v>
      </c>
      <c r="F35" s="22" t="n">
        <v>0</v>
      </c>
      <c r="G35" s="22" t="n">
        <v>1</v>
      </c>
      <c r="H35" s="22" t="n">
        <v>1</v>
      </c>
      <c r="I35" s="22" t="n">
        <v>0</v>
      </c>
      <c r="J35" s="22" t="n">
        <v>1</v>
      </c>
      <c r="K35" s="22" t="n">
        <v>1</v>
      </c>
      <c r="L35" s="22" t="n">
        <v>1</v>
      </c>
      <c r="M35" s="22" t="n">
        <v>0</v>
      </c>
      <c r="N35" s="22" t="n">
        <v>1</v>
      </c>
      <c r="O35" s="22" t="n">
        <v>1</v>
      </c>
    </row>
    <row r="37" customFormat="false" ht="15" hidden="false" customHeight="false" outlineLevel="0" collapsed="false">
      <c r="A37" s="5" t="s">
        <v>134</v>
      </c>
      <c r="B37" s="5"/>
      <c r="C37" s="5"/>
      <c r="D37" s="5"/>
      <c r="E37" s="5"/>
      <c r="F37" s="5"/>
      <c r="G37" s="5"/>
      <c r="H37" s="5"/>
      <c r="I37" s="5"/>
      <c r="J37" s="5"/>
      <c r="K37" s="5"/>
      <c r="L37" s="5"/>
      <c r="M37" s="5"/>
      <c r="N37" s="5"/>
      <c r="O37" s="5"/>
    </row>
    <row r="38" customFormat="false" ht="24" hidden="false" customHeight="true" outlineLevel="0" collapsed="false">
      <c r="A38" s="12" t="s">
        <v>54</v>
      </c>
      <c r="B38" s="12" t="s">
        <v>33</v>
      </c>
      <c r="C38" s="12" t="s">
        <v>135</v>
      </c>
      <c r="D38" s="12" t="s">
        <v>35</v>
      </c>
      <c r="E38" s="12" t="s">
        <v>78</v>
      </c>
      <c r="F38" s="12" t="s">
        <v>80</v>
      </c>
      <c r="G38" s="12" t="s">
        <v>82</v>
      </c>
      <c r="H38" s="12" t="s">
        <v>126</v>
      </c>
      <c r="I38" s="12" t="s">
        <v>127</v>
      </c>
      <c r="J38" s="12" t="s">
        <v>128</v>
      </c>
      <c r="K38" s="12" t="s">
        <v>129</v>
      </c>
      <c r="L38" s="12" t="s">
        <v>130</v>
      </c>
      <c r="M38" s="12" t="s">
        <v>131</v>
      </c>
      <c r="N38" s="12" t="s">
        <v>132</v>
      </c>
      <c r="O38" s="12" t="s">
        <v>133</v>
      </c>
    </row>
    <row r="39" customFormat="false" ht="15" hidden="false" customHeight="false" outlineLevel="0" collapsed="false">
      <c r="A39" s="10" t="s">
        <v>36</v>
      </c>
      <c r="B39" s="6" t="s">
        <v>36</v>
      </c>
      <c r="C39" s="10" t="s">
        <v>37</v>
      </c>
      <c r="D39" s="23" t="n">
        <f aca="false">Rúbrica!C11</f>
        <v>0.18</v>
      </c>
      <c r="E39" s="24" t="n">
        <f aca="false">SUMPRODUCT($D$5:$D$9,E$5:E$9)/2*Rúbrica!$D$5</f>
        <v>2</v>
      </c>
      <c r="F39" s="24" t="n">
        <f aca="false">SUMPRODUCT($D$5:$D$9,F$5:F$9)/2*Rúbrica!$D$5</f>
        <v>3.5</v>
      </c>
      <c r="G39" s="24" t="n">
        <f aca="false">SUMPRODUCT($D$5:$D$9,G$5:G$9)/2*Rúbrica!$D$5</f>
        <v>3.875</v>
      </c>
      <c r="H39" s="24" t="n">
        <f aca="false">SUMPRODUCT($D$5:$D$9,H$5:H$9)/2*Rúbrica!$D$5</f>
        <v>2.5</v>
      </c>
      <c r="I39" s="24" t="n">
        <f aca="false">SUMPRODUCT($D$5:$D$9,I$5:I$9)/2*Rúbrica!$D$5</f>
        <v>2.125</v>
      </c>
      <c r="J39" s="24" t="n">
        <f aca="false">SUMPRODUCT($D$5:$D$9,J$5:J$9)/2*Rúbrica!$D$5</f>
        <v>3.875</v>
      </c>
      <c r="K39" s="24" t="n">
        <f aca="false">SUMPRODUCT($D$5:$D$9,K$5:K$9)/2*Rúbrica!$D$5</f>
        <v>3.875</v>
      </c>
      <c r="L39" s="24" t="n">
        <f aca="false">SUMPRODUCT($D$5:$D$9,L$5:L$9)/2*Rúbrica!$D$5</f>
        <v>5</v>
      </c>
      <c r="M39" s="24" t="n">
        <f aca="false">SUMPRODUCT($D$5:$D$9,M$5:M$9)/2*Rúbrica!$D$5</f>
        <v>1.375</v>
      </c>
      <c r="N39" s="24" t="n">
        <f aca="false">SUMPRODUCT($D$5:$D$9,N$5:N$9)/2*Rúbrica!$D$5</f>
        <v>2.125</v>
      </c>
      <c r="O39" s="24" t="n">
        <f aca="false">SUMPRODUCT($D$5:$D$9,O$5:O$9)/2*Rúbrica!$D$5</f>
        <v>1.375</v>
      </c>
    </row>
    <row r="40" customFormat="false" ht="15" hidden="false" customHeight="false" outlineLevel="0" collapsed="false">
      <c r="A40" s="10" t="s">
        <v>38</v>
      </c>
      <c r="B40" s="6" t="s">
        <v>38</v>
      </c>
      <c r="C40" s="10" t="s">
        <v>39</v>
      </c>
      <c r="D40" s="23" t="n">
        <f aca="false">Rúbrica!C12</f>
        <v>0.14</v>
      </c>
      <c r="E40" s="24" t="n">
        <f aca="false">SUMPRODUCT($D$10:$D$13,E$10:E$13)/2*Rúbrica!$D$5</f>
        <v>2.5</v>
      </c>
      <c r="F40" s="24" t="n">
        <f aca="false">SUMPRODUCT($D$10:$D$13,F$10:F$13)/2*Rúbrica!$D$5</f>
        <v>3.25</v>
      </c>
      <c r="G40" s="24" t="n">
        <f aca="false">SUMPRODUCT($D$10:$D$13,G$10:G$13)/2*Rúbrica!$D$5</f>
        <v>5</v>
      </c>
      <c r="H40" s="24" t="n">
        <f aca="false">SUMPRODUCT($D$10:$D$13,H$10:H$13)/2*Rúbrica!$D$5</f>
        <v>5</v>
      </c>
      <c r="I40" s="24" t="n">
        <f aca="false">SUMPRODUCT($D$10:$D$13,I$10:I$13)/2*Rúbrica!$D$5</f>
        <v>3.25</v>
      </c>
      <c r="J40" s="24" t="n">
        <f aca="false">SUMPRODUCT($D$10:$D$13,J$10:J$13)/2*Rúbrica!$D$5</f>
        <v>5</v>
      </c>
      <c r="K40" s="24" t="n">
        <f aca="false">SUMPRODUCT($D$10:$D$13,K$10:K$13)/2*Rúbrica!$D$5</f>
        <v>5</v>
      </c>
      <c r="L40" s="24" t="n">
        <f aca="false">SUMPRODUCT($D$10:$D$13,L$10:L$13)/2*Rúbrica!$D$5</f>
        <v>4.5</v>
      </c>
      <c r="M40" s="24" t="n">
        <f aca="false">SUMPRODUCT($D$10:$D$13,M$10:M$13)/2*Rúbrica!$D$5</f>
        <v>4.5</v>
      </c>
      <c r="N40" s="24" t="n">
        <f aca="false">SUMPRODUCT($D$10:$D$13,N$10:N$13)/2*Rúbrica!$D$5</f>
        <v>4.25</v>
      </c>
      <c r="O40" s="24" t="n">
        <f aca="false">SUMPRODUCT($D$10:$D$13,O$10:O$13)/2*Rúbrica!$D$5</f>
        <v>4.5</v>
      </c>
    </row>
    <row r="41" customFormat="false" ht="15" hidden="false" customHeight="false" outlineLevel="0" collapsed="false">
      <c r="A41" s="10" t="s">
        <v>40</v>
      </c>
      <c r="B41" s="6" t="s">
        <v>40</v>
      </c>
      <c r="C41" s="10" t="s">
        <v>41</v>
      </c>
      <c r="D41" s="23" t="n">
        <f aca="false">Rúbrica!C13</f>
        <v>0.09</v>
      </c>
      <c r="E41" s="24" t="n">
        <f aca="false">SUMPRODUCT($D$14:$D$16,E$14:E$16)/2*Rúbrica!$D$5</f>
        <v>1.625</v>
      </c>
      <c r="F41" s="24" t="n">
        <f aca="false">SUMPRODUCT($D$14:$D$16,F$14:F$16)/2*Rúbrica!$D$5</f>
        <v>5</v>
      </c>
      <c r="G41" s="24" t="n">
        <f aca="false">SUMPRODUCT($D$14:$D$16,G$14:G$16)/2*Rúbrica!$D$5</f>
        <v>5</v>
      </c>
      <c r="H41" s="24" t="n">
        <f aca="false">SUMPRODUCT($D$14:$D$16,H$14:H$16)/2*Rúbrica!$D$5</f>
        <v>5</v>
      </c>
      <c r="I41" s="24" t="n">
        <f aca="false">SUMPRODUCT($D$14:$D$16,I$14:I$16)/2*Rúbrica!$D$5</f>
        <v>5</v>
      </c>
      <c r="J41" s="24" t="n">
        <f aca="false">SUMPRODUCT($D$14:$D$16,J$14:J$16)/2*Rúbrica!$D$5</f>
        <v>5</v>
      </c>
      <c r="K41" s="24" t="n">
        <f aca="false">SUMPRODUCT($D$14:$D$16,K$14:K$16)/2*Rúbrica!$D$5</f>
        <v>5</v>
      </c>
      <c r="L41" s="24" t="n">
        <f aca="false">SUMPRODUCT($D$14:$D$16,L$14:L$16)/2*Rúbrica!$D$5</f>
        <v>4.125</v>
      </c>
      <c r="M41" s="24" t="n">
        <f aca="false">SUMPRODUCT($D$14:$D$16,M$14:M$16)/2*Rúbrica!$D$5</f>
        <v>3.25</v>
      </c>
      <c r="N41" s="24" t="n">
        <f aca="false">SUMPRODUCT($D$14:$D$16,N$14:N$16)/2*Rúbrica!$D$5</f>
        <v>5</v>
      </c>
      <c r="O41" s="24" t="n">
        <f aca="false">SUMPRODUCT($D$14:$D$16,O$14:O$16)/2*Rúbrica!$D$5</f>
        <v>5</v>
      </c>
    </row>
    <row r="42" customFormat="false" ht="15" hidden="false" customHeight="false" outlineLevel="0" collapsed="false">
      <c r="A42" s="10" t="s">
        <v>42</v>
      </c>
      <c r="B42" s="6" t="s">
        <v>42</v>
      </c>
      <c r="C42" s="10" t="s">
        <v>43</v>
      </c>
      <c r="D42" s="23" t="n">
        <f aca="false">Rúbrica!C14</f>
        <v>0.09</v>
      </c>
      <c r="E42" s="24" t="n">
        <f aca="false">SUMPRODUCT($D$17:$D$19,E$17:E$19)/2*Rúbrica!$D$5</f>
        <v>3.375</v>
      </c>
      <c r="F42" s="24" t="n">
        <f aca="false">SUMPRODUCT($D$17:$D$19,F$17:F$19)/2*Rúbrica!$D$5</f>
        <v>1.625</v>
      </c>
      <c r="G42" s="24" t="n">
        <f aca="false">SUMPRODUCT($D$17:$D$19,G$17:G$19)/2*Rúbrica!$D$5</f>
        <v>3.375</v>
      </c>
      <c r="H42" s="24" t="n">
        <f aca="false">SUMPRODUCT($D$17:$D$19,H$17:H$19)/2*Rúbrica!$D$5</f>
        <v>3.25</v>
      </c>
      <c r="I42" s="24" t="n">
        <f aca="false">SUMPRODUCT($D$17:$D$19,I$17:I$19)/2*Rúbrica!$D$5</f>
        <v>2.5</v>
      </c>
      <c r="J42" s="24" t="n">
        <f aca="false">SUMPRODUCT($D$17:$D$19,J$17:J$19)/2*Rúbrica!$D$5</f>
        <v>3.375</v>
      </c>
      <c r="K42" s="24" t="n">
        <f aca="false">SUMPRODUCT($D$17:$D$19,K$17:K$19)/2*Rúbrica!$D$5</f>
        <v>5</v>
      </c>
      <c r="L42" s="24" t="n">
        <f aca="false">SUMPRODUCT($D$17:$D$19,L$17:L$19)/2*Rúbrica!$D$5</f>
        <v>3.25</v>
      </c>
      <c r="M42" s="24" t="n">
        <f aca="false">SUMPRODUCT($D$17:$D$19,M$17:M$19)/2*Rúbrica!$D$5</f>
        <v>1.75</v>
      </c>
      <c r="N42" s="24" t="n">
        <f aca="false">SUMPRODUCT($D$17:$D$19,N$17:N$19)/2*Rúbrica!$D$5</f>
        <v>4.25</v>
      </c>
      <c r="O42" s="24" t="n">
        <f aca="false">SUMPRODUCT($D$17:$D$19,O$17:O$19)/2*Rúbrica!$D$5</f>
        <v>3.375</v>
      </c>
    </row>
    <row r="43" customFormat="false" ht="15" hidden="false" customHeight="false" outlineLevel="0" collapsed="false">
      <c r="A43" s="10" t="s">
        <v>44</v>
      </c>
      <c r="B43" s="6" t="s">
        <v>44</v>
      </c>
      <c r="C43" s="10" t="s">
        <v>45</v>
      </c>
      <c r="D43" s="23" t="n">
        <f aca="false">Rúbrica!C15</f>
        <v>0.13</v>
      </c>
      <c r="E43" s="24" t="n">
        <f aca="false">SUMPRODUCT($D$20:$D$23,E$20:E$23)/2*Rúbrica!$D$5</f>
        <v>1.875</v>
      </c>
      <c r="F43" s="24" t="n">
        <f aca="false">SUMPRODUCT($D$20:$D$23,F$20:F$23)/2*Rúbrica!$D$5</f>
        <v>2.5</v>
      </c>
      <c r="G43" s="24" t="n">
        <f aca="false">SUMPRODUCT($D$20:$D$23,G$20:G$23)/2*Rúbrica!$D$5</f>
        <v>4.375</v>
      </c>
      <c r="H43" s="24" t="n">
        <f aca="false">SUMPRODUCT($D$20:$D$23,H$20:H$23)/2*Rúbrica!$D$5</f>
        <v>3.125</v>
      </c>
      <c r="I43" s="24" t="n">
        <f aca="false">SUMPRODUCT($D$20:$D$23,I$20:I$23)/2*Rúbrica!$D$5</f>
        <v>1.875</v>
      </c>
      <c r="J43" s="24" t="n">
        <f aca="false">SUMPRODUCT($D$20:$D$23,J$20:J$23)/2*Rúbrica!$D$5</f>
        <v>2.5</v>
      </c>
      <c r="K43" s="24" t="n">
        <f aca="false">SUMPRODUCT($D$20:$D$23,K$20:K$23)/2*Rúbrica!$D$5</f>
        <v>4.375</v>
      </c>
      <c r="L43" s="24" t="n">
        <f aca="false">SUMPRODUCT($D$20:$D$23,L$20:L$23)/2*Rúbrica!$D$5</f>
        <v>5</v>
      </c>
      <c r="M43" s="24" t="n">
        <f aca="false">SUMPRODUCT($D$20:$D$23,M$20:M$23)/2*Rúbrica!$D$5</f>
        <v>1.875</v>
      </c>
      <c r="N43" s="24" t="n">
        <f aca="false">SUMPRODUCT($D$20:$D$23,N$20:N$23)/2*Rúbrica!$D$5</f>
        <v>3.75</v>
      </c>
      <c r="O43" s="24" t="n">
        <f aca="false">SUMPRODUCT($D$20:$D$23,O$20:O$23)/2*Rúbrica!$D$5</f>
        <v>3.125</v>
      </c>
    </row>
    <row r="44" customFormat="false" ht="15" hidden="false" customHeight="false" outlineLevel="0" collapsed="false">
      <c r="A44" s="10" t="s">
        <v>46</v>
      </c>
      <c r="B44" s="6" t="s">
        <v>46</v>
      </c>
      <c r="C44" s="10" t="s">
        <v>47</v>
      </c>
      <c r="D44" s="23" t="n">
        <f aca="false">Rúbrica!C16</f>
        <v>0.14</v>
      </c>
      <c r="E44" s="24" t="n">
        <f aca="false">SUMPRODUCT($D$24:$D$27,E$24:E$27)/2*Rúbrica!$D$5</f>
        <v>3.125</v>
      </c>
      <c r="F44" s="24" t="n">
        <f aca="false">SUMPRODUCT($D$24:$D$27,F$24:F$27)/2*Rúbrica!$D$5</f>
        <v>3.625</v>
      </c>
      <c r="G44" s="24" t="n">
        <f aca="false">SUMPRODUCT($D$24:$D$27,G$24:G$27)/2*Rúbrica!$D$5</f>
        <v>4.25</v>
      </c>
      <c r="H44" s="24" t="n">
        <f aca="false">SUMPRODUCT($D$24:$D$27,H$24:H$27)/2*Rúbrica!$D$5</f>
        <v>3.875</v>
      </c>
      <c r="I44" s="24" t="n">
        <f aca="false">SUMPRODUCT($D$24:$D$27,I$24:I$27)/2*Rúbrica!$D$5</f>
        <v>1.75</v>
      </c>
      <c r="J44" s="24" t="n">
        <f aca="false">SUMPRODUCT($D$24:$D$27,J$24:J$27)/2*Rúbrica!$D$5</f>
        <v>4.625</v>
      </c>
      <c r="K44" s="24" t="n">
        <f aca="false">SUMPRODUCT($D$24:$D$27,K$24:K$27)/2*Rúbrica!$D$5</f>
        <v>4.625</v>
      </c>
      <c r="L44" s="24" t="n">
        <f aca="false">SUMPRODUCT($D$24:$D$27,L$24:L$27)/2*Rúbrica!$D$5</f>
        <v>3.875</v>
      </c>
      <c r="M44" s="24" t="n">
        <f aca="false">SUMPRODUCT($D$24:$D$27,M$24:M$27)/2*Rúbrica!$D$5</f>
        <v>1.75</v>
      </c>
      <c r="N44" s="24" t="n">
        <f aca="false">SUMPRODUCT($D$24:$D$27,N$24:N$27)/2*Rúbrica!$D$5</f>
        <v>3.5</v>
      </c>
      <c r="O44" s="24" t="n">
        <f aca="false">SUMPRODUCT($D$24:$D$27,O$24:O$27)/2*Rúbrica!$D$5</f>
        <v>3.875</v>
      </c>
    </row>
    <row r="45" customFormat="false" ht="15" hidden="false" customHeight="false" outlineLevel="0" collapsed="false">
      <c r="A45" s="10" t="s">
        <v>48</v>
      </c>
      <c r="B45" s="6" t="s">
        <v>48</v>
      </c>
      <c r="C45" s="10" t="s">
        <v>49</v>
      </c>
      <c r="D45" s="23" t="n">
        <f aca="false">Rúbrica!C17</f>
        <v>0.13</v>
      </c>
      <c r="E45" s="24" t="n">
        <f aca="false">SUMPRODUCT($D$28:$D$31,E$28:E$31)/2*Rúbrica!$D$5</f>
        <v>3</v>
      </c>
      <c r="F45" s="24" t="n">
        <f aca="false">SUMPRODUCT($D$28:$D$31,F$28:F$31)/2*Rúbrica!$D$5</f>
        <v>2.5</v>
      </c>
      <c r="G45" s="24" t="n">
        <f aca="false">SUMPRODUCT($D$28:$D$31,G$28:G$31)/2*Rúbrica!$D$5</f>
        <v>1.875</v>
      </c>
      <c r="H45" s="24" t="n">
        <f aca="false">SUMPRODUCT($D$28:$D$31,H$28:H$31)/2*Rúbrica!$D$5</f>
        <v>3.875</v>
      </c>
      <c r="I45" s="24" t="n">
        <f aca="false">SUMPRODUCT($D$28:$D$31,I$28:I$31)/2*Rúbrica!$D$5</f>
        <v>0.625</v>
      </c>
      <c r="J45" s="24" t="n">
        <f aca="false">SUMPRODUCT($D$28:$D$31,J$28:J$31)/2*Rúbrica!$D$5</f>
        <v>5</v>
      </c>
      <c r="K45" s="24" t="n">
        <f aca="false">SUMPRODUCT($D$28:$D$31,K$28:K$31)/2*Rúbrica!$D$5</f>
        <v>4.375</v>
      </c>
      <c r="L45" s="24" t="n">
        <f aca="false">SUMPRODUCT($D$28:$D$31,L$28:L$31)/2*Rúbrica!$D$5</f>
        <v>5</v>
      </c>
      <c r="M45" s="24" t="n">
        <f aca="false">SUMPRODUCT($D$28:$D$31,M$28:M$31)/2*Rúbrica!$D$5</f>
        <v>3.125</v>
      </c>
      <c r="N45" s="24" t="n">
        <f aca="false">SUMPRODUCT($D$28:$D$31,N$28:N$31)/2*Rúbrica!$D$5</f>
        <v>4.5</v>
      </c>
      <c r="O45" s="24" t="n">
        <f aca="false">SUMPRODUCT($D$28:$D$31,O$28:O$31)/2*Rúbrica!$D$5</f>
        <v>4.5</v>
      </c>
    </row>
    <row r="46" customFormat="false" ht="15" hidden="false" customHeight="false" outlineLevel="0" collapsed="false">
      <c r="A46" s="10" t="s">
        <v>50</v>
      </c>
      <c r="B46" s="6" t="s">
        <v>50</v>
      </c>
      <c r="C46" s="10" t="s">
        <v>51</v>
      </c>
      <c r="D46" s="23" t="n">
        <f aca="false">Rúbrica!C18</f>
        <v>0.1</v>
      </c>
      <c r="E46" s="24" t="n">
        <f aca="false">SUMPRODUCT($D$32:$D$35,E$32:E$35)/2*Rúbrica!$D$5</f>
        <v>1.25</v>
      </c>
      <c r="F46" s="24" t="n">
        <f aca="false">SUMPRODUCT($D$32:$D$35,F$32:F$35)/2*Rúbrica!$D$5</f>
        <v>2</v>
      </c>
      <c r="G46" s="24" t="n">
        <f aca="false">SUMPRODUCT($D$32:$D$35,G$32:G$35)/2*Rúbrica!$D$5</f>
        <v>1.125</v>
      </c>
      <c r="H46" s="24" t="n">
        <f aca="false">SUMPRODUCT($D$32:$D$35,H$32:H$35)/2*Rúbrica!$D$5</f>
        <v>2.5</v>
      </c>
      <c r="I46" s="24" t="n">
        <f aca="false">SUMPRODUCT($D$32:$D$35,I$32:I$35)/2*Rúbrica!$D$5</f>
        <v>0.625</v>
      </c>
      <c r="J46" s="24" t="n">
        <f aca="false">SUMPRODUCT($D$32:$D$35,J$32:J$35)/2*Rúbrica!$D$5</f>
        <v>4.5</v>
      </c>
      <c r="K46" s="24" t="n">
        <f aca="false">SUMPRODUCT($D$32:$D$35,K$32:K$35)/2*Rúbrica!$D$5</f>
        <v>3.125</v>
      </c>
      <c r="L46" s="24" t="n">
        <f aca="false">SUMPRODUCT($D$32:$D$35,L$32:L$35)/2*Rúbrica!$D$5</f>
        <v>3.25</v>
      </c>
      <c r="M46" s="24" t="n">
        <f aca="false">SUMPRODUCT($D$32:$D$35,M$32:M$35)/2*Rúbrica!$D$5</f>
        <v>1.375</v>
      </c>
      <c r="N46" s="24" t="n">
        <f aca="false">SUMPRODUCT($D$32:$D$35,N$32:N$35)/2*Rúbrica!$D$5</f>
        <v>1.875</v>
      </c>
      <c r="O46" s="24" t="n">
        <f aca="false">SUMPRODUCT($D$32:$D$35,O$32:O$35)/2*Rúbrica!$D$5</f>
        <v>3.75</v>
      </c>
    </row>
    <row r="47" customFormat="false" ht="15" hidden="false" customHeight="false" outlineLevel="0" collapsed="false">
      <c r="A47" s="14" t="s">
        <v>136</v>
      </c>
      <c r="B47" s="14"/>
      <c r="C47" s="14" t="s">
        <v>137</v>
      </c>
      <c r="D47" s="15" t="n">
        <f aca="false">SUM(D39:D46)</f>
        <v>1</v>
      </c>
      <c r="E47" s="25" t="n">
        <f aca="false">SUMPRODUCT($D$39:$D$46,E39:E46)</f>
        <v>2.35625</v>
      </c>
      <c r="F47" s="25" t="n">
        <f aca="false">SUMPRODUCT($D$39:$D$46,F39:F46)</f>
        <v>3.03875</v>
      </c>
      <c r="G47" s="25" t="n">
        <f aca="false">SUMPRODUCT($D$39:$D$46,G39:G46)</f>
        <v>3.67125</v>
      </c>
      <c r="H47" s="25" t="n">
        <f aca="false">SUMPRODUCT($D$39:$D$46,H39:H46)</f>
        <v>3.595</v>
      </c>
      <c r="I47" s="25" t="n">
        <f aca="false">SUMPRODUCT($D$39:$D$46,I39:I46)</f>
        <v>2.145</v>
      </c>
      <c r="J47" s="25" t="n">
        <f aca="false">SUMPRODUCT($D$39:$D$46,J39:J46)</f>
        <v>4.22375</v>
      </c>
      <c r="K47" s="25" t="n">
        <f aca="false">SUMPRODUCT($D$39:$D$46,K39:K46)</f>
        <v>4.395</v>
      </c>
      <c r="L47" s="25" t="n">
        <f aca="false">SUMPRODUCT($D$39:$D$46,L39:L46)</f>
        <v>4.36125</v>
      </c>
      <c r="M47" s="25" t="n">
        <f aca="false">SUMPRODUCT($D$39:$D$46,M39:M46)</f>
        <v>2.36</v>
      </c>
      <c r="N47" s="25" t="n">
        <f aca="false">SUMPRODUCT($D$39:$D$46,N39:N46)</f>
        <v>3.56</v>
      </c>
      <c r="O47" s="25" t="n">
        <f aca="false">SUMPRODUCT($D$39:$D$46,O39:O46)</f>
        <v>3.54</v>
      </c>
    </row>
    <row r="48" customFormat="false" ht="35.05" hidden="false" customHeight="false" outlineLevel="0" collapsed="false">
      <c r="A48" s="6"/>
      <c r="B48" s="6"/>
      <c r="C48" s="6" t="s">
        <v>138</v>
      </c>
      <c r="D48" s="10"/>
      <c r="E48" s="20" t="str">
        <f aca="false">IF(E47&gt;=Rúbrica!$D$7,"Alto",IF(E47&gt;=Rúbrica!$D$6,"Satisfactorio",IF(E47&gt;=Rúbrica!$D$8,"En desarrollo","Insuficiente")))</f>
        <v>En desarrollo</v>
      </c>
      <c r="F48" s="20" t="str">
        <f aca="false">IF(F47&gt;=Rúbrica!$D$7,"Alto",IF(F47&gt;=Rúbrica!$D$6,"Satisfactorio",IF(F47&gt;=Rúbrica!$D$8,"En desarrollo","Insuficiente")))</f>
        <v>Satisfactorio</v>
      </c>
      <c r="G48" s="20" t="str">
        <f aca="false">IF(G47&gt;=Rúbrica!$D$7,"Alto",IF(G47&gt;=Rúbrica!$D$6,"Satisfactorio",IF(G47&gt;=Rúbrica!$D$8,"En desarrollo","Insuficiente")))</f>
        <v>Satisfactorio</v>
      </c>
      <c r="H48" s="20" t="str">
        <f aca="false">IF(H47&gt;=Rúbrica!$D$7,"Alto",IF(H47&gt;=Rúbrica!$D$6,"Satisfactorio",IF(H47&gt;=Rúbrica!$D$8,"En desarrollo","Insuficiente")))</f>
        <v>Satisfactorio</v>
      </c>
      <c r="I48" s="20" t="str">
        <f aca="false">IF(I47&gt;=Rúbrica!$D$7,"Alto",IF(I47&gt;=Rúbrica!$D$6,"Satisfactorio",IF(I47&gt;=Rúbrica!$D$8,"En desarrollo","Insuficiente")))</f>
        <v>En desarrollo</v>
      </c>
      <c r="J48" s="20" t="str">
        <f aca="false">IF(J47&gt;=Rúbrica!$D$7,"Alto",IF(J47&gt;=Rúbrica!$D$6,"Satisfactorio",IF(J47&gt;=Rúbrica!$D$8,"En desarrollo","Insuficiente")))</f>
        <v>Alto</v>
      </c>
      <c r="K48" s="20" t="str">
        <f aca="false">IF(K47&gt;=Rúbrica!$D$7,"Alto",IF(K47&gt;=Rúbrica!$D$6,"Satisfactorio",IF(K47&gt;=Rúbrica!$D$8,"En desarrollo","Insuficiente")))</f>
        <v>Alto</v>
      </c>
      <c r="L48" s="20" t="str">
        <f aca="false">IF(L47&gt;=Rúbrica!$D$7,"Alto",IF(L47&gt;=Rúbrica!$D$6,"Satisfactorio",IF(L47&gt;=Rúbrica!$D$8,"En desarrollo","Insuficiente")))</f>
        <v>Alto</v>
      </c>
      <c r="M48" s="20" t="str">
        <f aca="false">IF(M47&gt;=Rúbrica!$D$7,"Alto",IF(M47&gt;=Rúbrica!$D$6,"Satisfactorio",IF(M47&gt;=Rúbrica!$D$8,"En desarrollo","Insuficiente")))</f>
        <v>En desarrollo</v>
      </c>
      <c r="N48" s="20" t="str">
        <f aca="false">IF(N47&gt;=Rúbrica!$D$7,"Alto",IF(N47&gt;=Rúbrica!$D$6,"Satisfactorio",IF(N47&gt;=Rúbrica!$D$8,"En desarrollo","Insuficiente")))</f>
        <v>Satisfactorio</v>
      </c>
      <c r="O48" s="20" t="str">
        <f aca="false">IF(O47&gt;=Rúbrica!$D$7,"Alto",IF(O47&gt;=Rúbrica!$D$6,"Satisfactorio",IF(O47&gt;=Rúbrica!$D$8,"En desarrollo","Insuficiente")))</f>
        <v>Satisfactorio</v>
      </c>
    </row>
    <row r="49" customFormat="false" ht="15" hidden="false" customHeight="false" outlineLevel="0" collapsed="false">
      <c r="A49" s="6"/>
      <c r="B49" s="6"/>
      <c r="C49" s="6" t="s">
        <v>139</v>
      </c>
      <c r="D49" s="10"/>
      <c r="E49" s="20" t="str">
        <f aca="false">IF(E47&gt;=Rúbrica!$D$6,"Sí","No")</f>
        <v>No</v>
      </c>
      <c r="F49" s="20" t="str">
        <f aca="false">IF(F47&gt;=Rúbrica!$D$6,"Sí","No")</f>
        <v>Sí</v>
      </c>
      <c r="G49" s="20" t="str">
        <f aca="false">IF(G47&gt;=Rúbrica!$D$6,"Sí","No")</f>
        <v>Sí</v>
      </c>
      <c r="H49" s="20" t="str">
        <f aca="false">IF(H47&gt;=Rúbrica!$D$6,"Sí","No")</f>
        <v>Sí</v>
      </c>
      <c r="I49" s="20" t="str">
        <f aca="false">IF(I47&gt;=Rúbrica!$D$6,"Sí","No")</f>
        <v>No</v>
      </c>
      <c r="J49" s="20" t="str">
        <f aca="false">IF(J47&gt;=Rúbrica!$D$6,"Sí","No")</f>
        <v>Sí</v>
      </c>
      <c r="K49" s="20" t="str">
        <f aca="false">IF(K47&gt;=Rúbrica!$D$6,"Sí","No")</f>
        <v>Sí</v>
      </c>
      <c r="L49" s="20" t="str">
        <f aca="false">IF(L47&gt;=Rúbrica!$D$6,"Sí","No")</f>
        <v>Sí</v>
      </c>
      <c r="M49" s="20" t="str">
        <f aca="false">IF(M47&gt;=Rúbrica!$D$6,"Sí","No")</f>
        <v>No</v>
      </c>
      <c r="N49" s="20" t="str">
        <f aca="false">IF(N47&gt;=Rúbrica!$D$6,"Sí","No")</f>
        <v>Sí</v>
      </c>
      <c r="O49" s="20" t="str">
        <f aca="false">IF(O47&gt;=Rúbrica!$D$6,"Sí","No")</f>
        <v>Sí</v>
      </c>
    </row>
    <row r="50" customFormat="false" ht="15" hidden="false" customHeight="false" outlineLevel="0" collapsed="false">
      <c r="A50" s="6"/>
      <c r="B50" s="6"/>
      <c r="C50" s="6" t="s">
        <v>140</v>
      </c>
      <c r="D50" s="10"/>
      <c r="E50" s="26" t="n">
        <f aca="false">COUNTIF(E5:E35,0)</f>
        <v>6</v>
      </c>
      <c r="F50" s="26" t="n">
        <f aca="false">COUNTIF(F5:F35,0)</f>
        <v>3</v>
      </c>
      <c r="G50" s="26" t="n">
        <f aca="false">COUNTIF(G5:G35,0)</f>
        <v>3</v>
      </c>
      <c r="H50" s="26" t="n">
        <f aca="false">COUNTIF(H5:H35,0)</f>
        <v>0</v>
      </c>
      <c r="I50" s="26" t="n">
        <f aca="false">COUNTIF(I5:I35,0)</f>
        <v>9</v>
      </c>
      <c r="J50" s="26" t="n">
        <f aca="false">COUNTIF(J5:J35,0)</f>
        <v>0</v>
      </c>
      <c r="K50" s="26" t="n">
        <f aca="false">COUNTIF(K5:K35,0)</f>
        <v>0</v>
      </c>
      <c r="L50" s="26" t="n">
        <f aca="false">COUNTIF(L5:L35,0)</f>
        <v>0</v>
      </c>
      <c r="M50" s="26" t="n">
        <f aca="false">COUNTIF(M5:M35,0)</f>
        <v>8</v>
      </c>
      <c r="N50" s="26" t="n">
        <f aca="false">COUNTIF(N5:N35,0)</f>
        <v>3</v>
      </c>
      <c r="O50" s="26" t="n">
        <f aca="false">COUNTIF(O5:O35,0)</f>
        <v>3</v>
      </c>
    </row>
    <row r="51" customFormat="false" ht="15" hidden="false" customHeight="false" outlineLevel="0" collapsed="false">
      <c r="A51" s="6"/>
      <c r="B51" s="6"/>
      <c r="C51" s="6" t="s">
        <v>141</v>
      </c>
      <c r="D51" s="10"/>
      <c r="E51" s="26" t="n">
        <f aca="false">COUNTIF(E5:E35,2)</f>
        <v>4</v>
      </c>
      <c r="F51" s="26" t="n">
        <f aca="false">COUNTIF(F5:F35,2)</f>
        <v>9</v>
      </c>
      <c r="G51" s="26" t="n">
        <f aca="false">COUNTIF(G5:G35,2)</f>
        <v>17</v>
      </c>
      <c r="H51" s="26" t="n">
        <f aca="false">COUNTIF(H5:H35,2)</f>
        <v>13</v>
      </c>
      <c r="I51" s="26" t="n">
        <f aca="false">COUNTIF(I5:I35,2)</f>
        <v>4</v>
      </c>
      <c r="J51" s="26" t="n">
        <f aca="false">COUNTIF(J5:J35,2)</f>
        <v>21</v>
      </c>
      <c r="K51" s="26" t="n">
        <f aca="false">COUNTIF(K5:K35,2)</f>
        <v>23</v>
      </c>
      <c r="L51" s="26" t="n">
        <f aca="false">COUNTIF(L5:L35,2)</f>
        <v>22</v>
      </c>
      <c r="M51" s="26" t="n">
        <f aca="false">COUNTIF(M5:M35,2)</f>
        <v>6</v>
      </c>
      <c r="N51" s="26" t="n">
        <f aca="false">COUNTIF(N5:N35,2)</f>
        <v>17</v>
      </c>
      <c r="O51" s="26" t="n">
        <f aca="false">COUNTIF(O5:O35,2)</f>
        <v>16</v>
      </c>
    </row>
  </sheetData>
  <mergeCells count="1">
    <mergeCell ref="A37:O37"/>
  </mergeCells>
  <conditionalFormatting sqref="E5:O35">
    <cfRule type="cellIs" priority="2" operator="equal" aboveAverage="0" equalAverage="0" bottom="0" percent="0" rank="0" text="" dxfId="0">
      <formula>0</formula>
    </cfRule>
    <cfRule type="cellIs" priority="3" operator="equal" aboveAverage="0" equalAverage="0" bottom="0" percent="0" rank="0" text="" dxfId="1">
      <formula>2</formula>
    </cfRule>
  </conditionalFormatting>
  <conditionalFormatting sqref="E47:O47">
    <cfRule type="cellIs" priority="4" operator="lessThan" aboveAverage="0" equalAverage="0" bottom="0" percent="0" rank="0" text="" dxfId="2">
      <formula>Rúbrica!$D$6</formula>
    </cfRule>
  </conditionalFormatting>
  <dataValidations count="1">
    <dataValidation allowBlank="false" error="Use 0, 1 o 2" errorStyle="stop" errorTitle="Valor no válido" operator="between" showDropDown="false" showErrorMessage="true" showInputMessage="false" sqref="E5:O35"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13"/>
    <col collapsed="false" customWidth="true" hidden="false" outlineLevel="0" max="6" min="4" style="0" width="12"/>
    <col collapsed="false" customWidth="true" hidden="false" outlineLevel="0" max="8" min="7" style="0" width="14"/>
    <col collapsed="false" customWidth="true" hidden="false" outlineLevel="0" max="9" min="9" style="0" width="12"/>
    <col collapsed="false" customWidth="true" hidden="false" outlineLevel="0" max="10" min="10" style="0" width="16"/>
    <col collapsed="false" customWidth="true" hidden="false" outlineLevel="0" max="11" min="11" style="0" width="12"/>
    <col collapsed="false" customWidth="true" hidden="false" outlineLevel="0" max="12" min="12" style="0" width="11"/>
    <col collapsed="false" customWidth="true" hidden="false" outlineLevel="0" max="14" min="13" style="0" width="14"/>
  </cols>
  <sheetData>
    <row r="1" customFormat="false" ht="17.35" hidden="false" customHeight="false" outlineLevel="0" collapsed="false">
      <c r="A1" s="1" t="s">
        <v>142</v>
      </c>
    </row>
    <row r="2" customFormat="false" ht="15" hidden="false" customHeight="false" outlineLevel="0" collapsed="false">
      <c r="A2" s="2" t="s">
        <v>143</v>
      </c>
    </row>
    <row r="3" customFormat="false" ht="15" hidden="false" customHeight="false" outlineLevel="0" collapsed="false">
      <c r="A3" s="5" t="s">
        <v>144</v>
      </c>
      <c r="B3" s="5"/>
      <c r="C3" s="5"/>
      <c r="D3" s="5"/>
      <c r="E3" s="5"/>
      <c r="F3" s="5"/>
      <c r="G3" s="5"/>
      <c r="H3" s="5"/>
      <c r="I3" s="5"/>
      <c r="J3" s="5"/>
      <c r="K3" s="5"/>
      <c r="L3" s="5"/>
      <c r="M3" s="5"/>
      <c r="N3" s="5"/>
    </row>
    <row r="4" customFormat="false" ht="27.75" hidden="false" customHeight="true" outlineLevel="0" collapsed="false">
      <c r="A4" s="12" t="s">
        <v>145</v>
      </c>
      <c r="B4" s="12" t="s">
        <v>146</v>
      </c>
      <c r="C4" s="12" t="s">
        <v>36</v>
      </c>
      <c r="D4" s="12" t="s">
        <v>38</v>
      </c>
      <c r="E4" s="12" t="s">
        <v>40</v>
      </c>
      <c r="F4" s="12" t="s">
        <v>42</v>
      </c>
      <c r="G4" s="12" t="s">
        <v>44</v>
      </c>
      <c r="H4" s="12" t="s">
        <v>46</v>
      </c>
      <c r="I4" s="12" t="s">
        <v>48</v>
      </c>
      <c r="J4" s="12" t="s">
        <v>50</v>
      </c>
      <c r="K4" s="12" t="s">
        <v>136</v>
      </c>
      <c r="L4" s="12" t="s">
        <v>147</v>
      </c>
      <c r="M4" s="12" t="s">
        <v>148</v>
      </c>
      <c r="N4" s="12" t="s">
        <v>149</v>
      </c>
    </row>
    <row r="5" customFormat="false" ht="15" hidden="false" customHeight="false" outlineLevel="0" collapsed="false">
      <c r="A5" s="6" t="s">
        <v>78</v>
      </c>
      <c r="B5" s="4" t="s">
        <v>150</v>
      </c>
      <c r="C5" s="27" t="n">
        <f aca="false">Calificación!E39</f>
        <v>2</v>
      </c>
      <c r="D5" s="27" t="n">
        <f aca="false">Calificación!E40</f>
        <v>2.5</v>
      </c>
      <c r="E5" s="27" t="n">
        <f aca="false">Calificación!E41</f>
        <v>1.625</v>
      </c>
      <c r="F5" s="27" t="n">
        <f aca="false">Calificación!E42</f>
        <v>3.375</v>
      </c>
      <c r="G5" s="27" t="n">
        <f aca="false">Calificación!E43</f>
        <v>1.875</v>
      </c>
      <c r="H5" s="27" t="n">
        <f aca="false">Calificación!E44</f>
        <v>3.125</v>
      </c>
      <c r="I5" s="27" t="n">
        <f aca="false">Calificación!E45</f>
        <v>3</v>
      </c>
      <c r="J5" s="27" t="n">
        <f aca="false">Calificación!E46</f>
        <v>1.25</v>
      </c>
      <c r="K5" s="28" t="n">
        <f aca="false">Calificación!E47</f>
        <v>2.35625</v>
      </c>
      <c r="L5" s="26" t="n">
        <f aca="false">RANK(K5,$K$5:$K$15,0)</f>
        <v>10</v>
      </c>
      <c r="M5" s="29" t="str">
        <f aca="false">Calificación!E48</f>
        <v>En desarrollo</v>
      </c>
      <c r="N5" s="29" t="str">
        <f aca="false">Calificación!E49</f>
        <v>No</v>
      </c>
    </row>
    <row r="6" customFormat="false" ht="15" hidden="false" customHeight="false" outlineLevel="0" collapsed="false">
      <c r="A6" s="6" t="s">
        <v>80</v>
      </c>
      <c r="B6" s="4" t="s">
        <v>151</v>
      </c>
      <c r="C6" s="27" t="n">
        <f aca="false">Calificación!F39</f>
        <v>3.5</v>
      </c>
      <c r="D6" s="27" t="n">
        <f aca="false">Calificación!F40</f>
        <v>3.25</v>
      </c>
      <c r="E6" s="27" t="n">
        <f aca="false">Calificación!F41</f>
        <v>5</v>
      </c>
      <c r="F6" s="27" t="n">
        <f aca="false">Calificación!F42</f>
        <v>1.625</v>
      </c>
      <c r="G6" s="27" t="n">
        <f aca="false">Calificación!F43</f>
        <v>2.5</v>
      </c>
      <c r="H6" s="27" t="n">
        <f aca="false">Calificación!F44</f>
        <v>3.625</v>
      </c>
      <c r="I6" s="27" t="n">
        <f aca="false">Calificación!F45</f>
        <v>2.5</v>
      </c>
      <c r="J6" s="27" t="n">
        <f aca="false">Calificación!F46</f>
        <v>2</v>
      </c>
      <c r="K6" s="28" t="n">
        <f aca="false">Calificación!F47</f>
        <v>3.03875</v>
      </c>
      <c r="L6" s="26" t="n">
        <f aca="false">RANK(K6,$K$5:$K$15,0)</f>
        <v>8</v>
      </c>
      <c r="M6" s="29" t="str">
        <f aca="false">Calificación!F48</f>
        <v>Satisfactorio</v>
      </c>
      <c r="N6" s="29" t="str">
        <f aca="false">Calificación!F49</f>
        <v>Sí</v>
      </c>
    </row>
    <row r="7" customFormat="false" ht="15" hidden="false" customHeight="false" outlineLevel="0" collapsed="false">
      <c r="A7" s="6" t="s">
        <v>82</v>
      </c>
      <c r="B7" s="4" t="s">
        <v>152</v>
      </c>
      <c r="C7" s="27" t="n">
        <f aca="false">Calificación!G39</f>
        <v>3.875</v>
      </c>
      <c r="D7" s="27" t="n">
        <f aca="false">Calificación!G40</f>
        <v>5</v>
      </c>
      <c r="E7" s="27" t="n">
        <f aca="false">Calificación!G41</f>
        <v>5</v>
      </c>
      <c r="F7" s="27" t="n">
        <f aca="false">Calificación!G42</f>
        <v>3.375</v>
      </c>
      <c r="G7" s="27" t="n">
        <f aca="false">Calificación!G43</f>
        <v>4.375</v>
      </c>
      <c r="H7" s="27" t="n">
        <f aca="false">Calificación!G44</f>
        <v>4.25</v>
      </c>
      <c r="I7" s="27" t="n">
        <f aca="false">Calificación!G45</f>
        <v>1.875</v>
      </c>
      <c r="J7" s="27" t="n">
        <f aca="false">Calificación!G46</f>
        <v>1.125</v>
      </c>
      <c r="K7" s="28" t="n">
        <f aca="false">Calificación!G47</f>
        <v>3.67125</v>
      </c>
      <c r="L7" s="26" t="n">
        <f aca="false">RANK(K7,$K$5:$K$15,0)</f>
        <v>4</v>
      </c>
      <c r="M7" s="29" t="str">
        <f aca="false">Calificación!G48</f>
        <v>Satisfactorio</v>
      </c>
      <c r="N7" s="29" t="str">
        <f aca="false">Calificación!G49</f>
        <v>Sí</v>
      </c>
    </row>
    <row r="8" customFormat="false" ht="15" hidden="false" customHeight="false" outlineLevel="0" collapsed="false">
      <c r="A8" s="6" t="s">
        <v>126</v>
      </c>
      <c r="B8" s="4" t="s">
        <v>153</v>
      </c>
      <c r="C8" s="27" t="n">
        <f aca="false">Calificación!H39</f>
        <v>2.5</v>
      </c>
      <c r="D8" s="27" t="n">
        <f aca="false">Calificación!H40</f>
        <v>5</v>
      </c>
      <c r="E8" s="27" t="n">
        <f aca="false">Calificación!H41</f>
        <v>5</v>
      </c>
      <c r="F8" s="27" t="n">
        <f aca="false">Calificación!H42</f>
        <v>3.25</v>
      </c>
      <c r="G8" s="27" t="n">
        <f aca="false">Calificación!H43</f>
        <v>3.125</v>
      </c>
      <c r="H8" s="27" t="n">
        <f aca="false">Calificación!H44</f>
        <v>3.875</v>
      </c>
      <c r="I8" s="27" t="n">
        <f aca="false">Calificación!H45</f>
        <v>3.875</v>
      </c>
      <c r="J8" s="27" t="n">
        <f aca="false">Calificación!H46</f>
        <v>2.5</v>
      </c>
      <c r="K8" s="28" t="n">
        <f aca="false">Calificación!H47</f>
        <v>3.595</v>
      </c>
      <c r="L8" s="26" t="n">
        <f aca="false">RANK(K8,$K$5:$K$15,0)</f>
        <v>5</v>
      </c>
      <c r="M8" s="29" t="str">
        <f aca="false">Calificación!H48</f>
        <v>Satisfactorio</v>
      </c>
      <c r="N8" s="29" t="str">
        <f aca="false">Calificación!H49</f>
        <v>Sí</v>
      </c>
    </row>
    <row r="9" customFormat="false" ht="15" hidden="false" customHeight="false" outlineLevel="0" collapsed="false">
      <c r="A9" s="6" t="s">
        <v>127</v>
      </c>
      <c r="B9" s="4" t="s">
        <v>154</v>
      </c>
      <c r="C9" s="27" t="n">
        <f aca="false">Calificación!I39</f>
        <v>2.125</v>
      </c>
      <c r="D9" s="27" t="n">
        <f aca="false">Calificación!I40</f>
        <v>3.25</v>
      </c>
      <c r="E9" s="27" t="n">
        <f aca="false">Calificación!I41</f>
        <v>5</v>
      </c>
      <c r="F9" s="27" t="n">
        <f aca="false">Calificación!I42</f>
        <v>2.5</v>
      </c>
      <c r="G9" s="27" t="n">
        <f aca="false">Calificación!I43</f>
        <v>1.875</v>
      </c>
      <c r="H9" s="27" t="n">
        <f aca="false">Calificación!I44</f>
        <v>1.75</v>
      </c>
      <c r="I9" s="27" t="n">
        <f aca="false">Calificación!I45</f>
        <v>0.625</v>
      </c>
      <c r="J9" s="27" t="n">
        <f aca="false">Calificación!I46</f>
        <v>0.625</v>
      </c>
      <c r="K9" s="28" t="n">
        <f aca="false">Calificación!I47</f>
        <v>2.145</v>
      </c>
      <c r="L9" s="26" t="n">
        <f aca="false">RANK(K9,$K$5:$K$15,0)</f>
        <v>11</v>
      </c>
      <c r="M9" s="29" t="str">
        <f aca="false">Calificación!I48</f>
        <v>En desarrollo</v>
      </c>
      <c r="N9" s="29" t="str">
        <f aca="false">Calificación!I49</f>
        <v>No</v>
      </c>
    </row>
    <row r="10" customFormat="false" ht="15" hidden="false" customHeight="false" outlineLevel="0" collapsed="false">
      <c r="A10" s="6" t="s">
        <v>128</v>
      </c>
      <c r="B10" s="4" t="s">
        <v>155</v>
      </c>
      <c r="C10" s="27" t="n">
        <f aca="false">Calificación!J39</f>
        <v>3.875</v>
      </c>
      <c r="D10" s="27" t="n">
        <f aca="false">Calificación!J40</f>
        <v>5</v>
      </c>
      <c r="E10" s="27" t="n">
        <f aca="false">Calificación!J41</f>
        <v>5</v>
      </c>
      <c r="F10" s="27" t="n">
        <f aca="false">Calificación!J42</f>
        <v>3.375</v>
      </c>
      <c r="G10" s="27" t="n">
        <f aca="false">Calificación!J43</f>
        <v>2.5</v>
      </c>
      <c r="H10" s="27" t="n">
        <f aca="false">Calificación!J44</f>
        <v>4.625</v>
      </c>
      <c r="I10" s="27" t="n">
        <f aca="false">Calificación!J45</f>
        <v>5</v>
      </c>
      <c r="J10" s="27" t="n">
        <f aca="false">Calificación!J46</f>
        <v>4.5</v>
      </c>
      <c r="K10" s="28" t="n">
        <f aca="false">Calificación!J47</f>
        <v>4.22375</v>
      </c>
      <c r="L10" s="26" t="n">
        <f aca="false">RANK(K10,$K$5:$K$15,0)</f>
        <v>3</v>
      </c>
      <c r="M10" s="29" t="str">
        <f aca="false">Calificación!J48</f>
        <v>Alto</v>
      </c>
      <c r="N10" s="29" t="str">
        <f aca="false">Calificación!J49</f>
        <v>Sí</v>
      </c>
    </row>
    <row r="11" customFormat="false" ht="15" hidden="false" customHeight="false" outlineLevel="0" collapsed="false">
      <c r="A11" s="6" t="s">
        <v>129</v>
      </c>
      <c r="B11" s="4" t="s">
        <v>156</v>
      </c>
      <c r="C11" s="27" t="n">
        <f aca="false">Calificación!K39</f>
        <v>3.875</v>
      </c>
      <c r="D11" s="27" t="n">
        <f aca="false">Calificación!K40</f>
        <v>5</v>
      </c>
      <c r="E11" s="27" t="n">
        <f aca="false">Calificación!K41</f>
        <v>5</v>
      </c>
      <c r="F11" s="27" t="n">
        <f aca="false">Calificación!K42</f>
        <v>5</v>
      </c>
      <c r="G11" s="27" t="n">
        <f aca="false">Calificación!K43</f>
        <v>4.375</v>
      </c>
      <c r="H11" s="27" t="n">
        <f aca="false">Calificación!K44</f>
        <v>4.625</v>
      </c>
      <c r="I11" s="27" t="n">
        <f aca="false">Calificación!K45</f>
        <v>4.375</v>
      </c>
      <c r="J11" s="27" t="n">
        <f aca="false">Calificación!K46</f>
        <v>3.125</v>
      </c>
      <c r="K11" s="28" t="n">
        <f aca="false">Calificación!K47</f>
        <v>4.395</v>
      </c>
      <c r="L11" s="26" t="n">
        <f aca="false">RANK(K11,$K$5:$K$15,0)</f>
        <v>1</v>
      </c>
      <c r="M11" s="29" t="str">
        <f aca="false">Calificación!K48</f>
        <v>Alto</v>
      </c>
      <c r="N11" s="29" t="str">
        <f aca="false">Calificación!K49</f>
        <v>Sí</v>
      </c>
    </row>
    <row r="12" customFormat="false" ht="15" hidden="false" customHeight="false" outlineLevel="0" collapsed="false">
      <c r="A12" s="6" t="s">
        <v>130</v>
      </c>
      <c r="B12" s="4" t="s">
        <v>157</v>
      </c>
      <c r="C12" s="27" t="n">
        <f aca="false">Calificación!L39</f>
        <v>5</v>
      </c>
      <c r="D12" s="27" t="n">
        <f aca="false">Calificación!L40</f>
        <v>4.5</v>
      </c>
      <c r="E12" s="27" t="n">
        <f aca="false">Calificación!L41</f>
        <v>4.125</v>
      </c>
      <c r="F12" s="27" t="n">
        <f aca="false">Calificación!L42</f>
        <v>3.25</v>
      </c>
      <c r="G12" s="27" t="n">
        <f aca="false">Calificación!L43</f>
        <v>5</v>
      </c>
      <c r="H12" s="27" t="n">
        <f aca="false">Calificación!L44</f>
        <v>3.875</v>
      </c>
      <c r="I12" s="27" t="n">
        <f aca="false">Calificación!L45</f>
        <v>5</v>
      </c>
      <c r="J12" s="27" t="n">
        <f aca="false">Calificación!L46</f>
        <v>3.25</v>
      </c>
      <c r="K12" s="28" t="n">
        <f aca="false">Calificación!L47</f>
        <v>4.36125</v>
      </c>
      <c r="L12" s="26" t="n">
        <f aca="false">RANK(K12,$K$5:$K$15,0)</f>
        <v>2</v>
      </c>
      <c r="M12" s="29" t="str">
        <f aca="false">Calificación!L48</f>
        <v>Alto</v>
      </c>
      <c r="N12" s="29" t="str">
        <f aca="false">Calificación!L49</f>
        <v>Sí</v>
      </c>
    </row>
    <row r="13" customFormat="false" ht="15" hidden="false" customHeight="false" outlineLevel="0" collapsed="false">
      <c r="A13" s="6" t="s">
        <v>131</v>
      </c>
      <c r="B13" s="4" t="s">
        <v>158</v>
      </c>
      <c r="C13" s="27" t="n">
        <f aca="false">Calificación!M39</f>
        <v>1.375</v>
      </c>
      <c r="D13" s="27" t="n">
        <f aca="false">Calificación!M40</f>
        <v>4.5</v>
      </c>
      <c r="E13" s="27" t="n">
        <f aca="false">Calificación!M41</f>
        <v>3.25</v>
      </c>
      <c r="F13" s="27" t="n">
        <f aca="false">Calificación!M42</f>
        <v>1.75</v>
      </c>
      <c r="G13" s="27" t="n">
        <f aca="false">Calificación!M43</f>
        <v>1.875</v>
      </c>
      <c r="H13" s="27" t="n">
        <f aca="false">Calificación!M44</f>
        <v>1.75</v>
      </c>
      <c r="I13" s="27" t="n">
        <f aca="false">Calificación!M45</f>
        <v>3.125</v>
      </c>
      <c r="J13" s="27" t="n">
        <f aca="false">Calificación!M46</f>
        <v>1.375</v>
      </c>
      <c r="K13" s="28" t="n">
        <f aca="false">Calificación!M47</f>
        <v>2.36</v>
      </c>
      <c r="L13" s="26" t="n">
        <f aca="false">RANK(K13,$K$5:$K$15,0)</f>
        <v>9</v>
      </c>
      <c r="M13" s="29" t="str">
        <f aca="false">Calificación!M48</f>
        <v>En desarrollo</v>
      </c>
      <c r="N13" s="29" t="str">
        <f aca="false">Calificación!M49</f>
        <v>No</v>
      </c>
    </row>
    <row r="14" customFormat="false" ht="15" hidden="false" customHeight="false" outlineLevel="0" collapsed="false">
      <c r="A14" s="6" t="s">
        <v>132</v>
      </c>
      <c r="B14" s="4" t="s">
        <v>159</v>
      </c>
      <c r="C14" s="27" t="n">
        <f aca="false">Calificación!N39</f>
        <v>2.125</v>
      </c>
      <c r="D14" s="27" t="n">
        <f aca="false">Calificación!N40</f>
        <v>4.25</v>
      </c>
      <c r="E14" s="27" t="n">
        <f aca="false">Calificación!N41</f>
        <v>5</v>
      </c>
      <c r="F14" s="27" t="n">
        <f aca="false">Calificación!N42</f>
        <v>4.25</v>
      </c>
      <c r="G14" s="27" t="n">
        <f aca="false">Calificación!N43</f>
        <v>3.75</v>
      </c>
      <c r="H14" s="27" t="n">
        <f aca="false">Calificación!N44</f>
        <v>3.5</v>
      </c>
      <c r="I14" s="27" t="n">
        <f aca="false">Calificación!N45</f>
        <v>4.5</v>
      </c>
      <c r="J14" s="27" t="n">
        <f aca="false">Calificación!N46</f>
        <v>1.875</v>
      </c>
      <c r="K14" s="28" t="n">
        <f aca="false">Calificación!N47</f>
        <v>3.56</v>
      </c>
      <c r="L14" s="26" t="n">
        <f aca="false">RANK(K14,$K$5:$K$15,0)</f>
        <v>6</v>
      </c>
      <c r="M14" s="29" t="str">
        <f aca="false">Calificación!N48</f>
        <v>Satisfactorio</v>
      </c>
      <c r="N14" s="29" t="str">
        <f aca="false">Calificación!N49</f>
        <v>Sí</v>
      </c>
    </row>
    <row r="15" customFormat="false" ht="15" hidden="false" customHeight="false" outlineLevel="0" collapsed="false">
      <c r="A15" s="6" t="s">
        <v>133</v>
      </c>
      <c r="B15" s="4" t="s">
        <v>160</v>
      </c>
      <c r="C15" s="27" t="n">
        <f aca="false">Calificación!O39</f>
        <v>1.375</v>
      </c>
      <c r="D15" s="27" t="n">
        <f aca="false">Calificación!O40</f>
        <v>4.5</v>
      </c>
      <c r="E15" s="27" t="n">
        <f aca="false">Calificación!O41</f>
        <v>5</v>
      </c>
      <c r="F15" s="27" t="n">
        <f aca="false">Calificación!O42</f>
        <v>3.375</v>
      </c>
      <c r="G15" s="27" t="n">
        <f aca="false">Calificación!O43</f>
        <v>3.125</v>
      </c>
      <c r="H15" s="27" t="n">
        <f aca="false">Calificación!O44</f>
        <v>3.875</v>
      </c>
      <c r="I15" s="27" t="n">
        <f aca="false">Calificación!O45</f>
        <v>4.5</v>
      </c>
      <c r="J15" s="27" t="n">
        <f aca="false">Calificación!O46</f>
        <v>3.75</v>
      </c>
      <c r="K15" s="28" t="n">
        <f aca="false">Calificación!O47</f>
        <v>3.54</v>
      </c>
      <c r="L15" s="26" t="n">
        <f aca="false">RANK(K15,$K$5:$K$15,0)</f>
        <v>7</v>
      </c>
      <c r="M15" s="29" t="str">
        <f aca="false">Calificación!O48</f>
        <v>Satisfactorio</v>
      </c>
      <c r="N15" s="29" t="str">
        <f aca="false">Calificación!O49</f>
        <v>Sí</v>
      </c>
    </row>
    <row r="17" customFormat="false" ht="15" hidden="false" customHeight="false" outlineLevel="0" collapsed="false">
      <c r="A17" s="5" t="s">
        <v>161</v>
      </c>
      <c r="B17" s="5"/>
      <c r="C17" s="5"/>
      <c r="D17" s="5"/>
      <c r="E17" s="5"/>
      <c r="F17" s="5"/>
      <c r="G17" s="5"/>
      <c r="H17" s="5"/>
      <c r="I17" s="5"/>
      <c r="J17" s="5"/>
      <c r="K17" s="5"/>
      <c r="L17" s="5"/>
      <c r="M17" s="5"/>
      <c r="N17" s="5"/>
    </row>
    <row r="18" customFormat="false" ht="39.75" hidden="false" customHeight="true" outlineLevel="0" collapsed="false">
      <c r="A18" s="12" t="s">
        <v>33</v>
      </c>
      <c r="B18" s="12" t="s">
        <v>54</v>
      </c>
      <c r="C18" s="12" t="s">
        <v>162</v>
      </c>
      <c r="D18" s="12" t="s">
        <v>163</v>
      </c>
      <c r="E18" s="12" t="s">
        <v>164</v>
      </c>
      <c r="F18" s="12" t="s">
        <v>165</v>
      </c>
      <c r="G18" s="12" t="s">
        <v>166</v>
      </c>
      <c r="H18" s="12" t="s">
        <v>167</v>
      </c>
      <c r="I18" s="12" t="s">
        <v>168</v>
      </c>
      <c r="J18" s="12" t="s">
        <v>169</v>
      </c>
      <c r="K18" s="12" t="s">
        <v>170</v>
      </c>
      <c r="L18" s="12" t="s">
        <v>171</v>
      </c>
    </row>
    <row r="19" customFormat="false" ht="15" hidden="false" customHeight="false" outlineLevel="0" collapsed="false">
      <c r="A19" s="6" t="s">
        <v>36</v>
      </c>
      <c r="B19" s="10" t="s">
        <v>37</v>
      </c>
      <c r="C19" s="23" t="n">
        <f aca="false">Rúbrica!C11</f>
        <v>0.18</v>
      </c>
      <c r="D19" s="24" t="n">
        <f aca="false">AVERAGE(C$5:C$15)</f>
        <v>2.875</v>
      </c>
      <c r="E19" s="24" t="n">
        <f aca="false">MEDIAN(C$5:C$15)</f>
        <v>2.5</v>
      </c>
      <c r="F19" s="24" t="n">
        <f aca="false">MIN(C$5:C$15)</f>
        <v>1.375</v>
      </c>
      <c r="G19" s="24" t="n">
        <f aca="false">MAX(C$5:C$15)</f>
        <v>5</v>
      </c>
      <c r="H19" s="24" t="n">
        <f aca="false">STDEV(C$5:C$15)</f>
        <v>1.20156148406979</v>
      </c>
      <c r="I19" s="26" t="n">
        <f aca="false">COUNTIF(C$5:C$15,"&gt;="&amp;Rúbrica!$D$6)</f>
        <v>5</v>
      </c>
      <c r="J19" s="30" t="n">
        <f aca="false">I19/COUNT(C$5:C$15)</f>
        <v>0.454545454545455</v>
      </c>
      <c r="K19" s="26" t="str">
        <f aca="false">INDEX($A$5:$A$15,MATCH(MAX(C$5:C$15),C$5:C$15,0))</f>
        <v>G8</v>
      </c>
      <c r="L19" s="26" t="str">
        <f aca="false">INDEX($A$5:$A$15,MATCH(MIN(C$5:C$15),C$5:C$15,0))</f>
        <v>G9</v>
      </c>
    </row>
    <row r="20" customFormat="false" ht="15" hidden="false" customHeight="false" outlineLevel="0" collapsed="false">
      <c r="A20" s="6" t="s">
        <v>38</v>
      </c>
      <c r="B20" s="10" t="s">
        <v>39</v>
      </c>
      <c r="C20" s="23" t="n">
        <f aca="false">Rúbrica!C12</f>
        <v>0.14</v>
      </c>
      <c r="D20" s="24" t="n">
        <f aca="false">AVERAGE(D$5:D$15)</f>
        <v>4.25</v>
      </c>
      <c r="E20" s="24" t="n">
        <f aca="false">MEDIAN(D$5:D$15)</f>
        <v>4.5</v>
      </c>
      <c r="F20" s="24" t="n">
        <f aca="false">MIN(D$5:D$15)</f>
        <v>2.5</v>
      </c>
      <c r="G20" s="24" t="n">
        <f aca="false">MAX(D$5:D$15)</f>
        <v>5</v>
      </c>
      <c r="H20" s="24" t="n">
        <f aca="false">STDEV(D$5:D$15)</f>
        <v>0.866025403784439</v>
      </c>
      <c r="I20" s="26" t="n">
        <f aca="false">COUNTIF(D$5:D$15,"&gt;="&amp;Rúbrica!$D$6)</f>
        <v>10</v>
      </c>
      <c r="J20" s="30" t="n">
        <f aca="false">I20/COUNT(D$5:D$15)</f>
        <v>0.909090909090909</v>
      </c>
      <c r="K20" s="26" t="str">
        <f aca="false">INDEX($A$5:$A$15,MATCH(MAX(D$5:D$15),D$5:D$15,0))</f>
        <v>G3</v>
      </c>
      <c r="L20" s="26" t="str">
        <f aca="false">INDEX($A$5:$A$15,MATCH(MIN(D$5:D$15),D$5:D$15,0))</f>
        <v>G1</v>
      </c>
    </row>
    <row r="21" customFormat="false" ht="15" hidden="false" customHeight="false" outlineLevel="0" collapsed="false">
      <c r="A21" s="6" t="s">
        <v>40</v>
      </c>
      <c r="B21" s="10" t="s">
        <v>41</v>
      </c>
      <c r="C21" s="23" t="n">
        <f aca="false">Rúbrica!C13</f>
        <v>0.09</v>
      </c>
      <c r="D21" s="24" t="n">
        <f aca="false">AVERAGE(E$5:E$15)</f>
        <v>4.45454545454545</v>
      </c>
      <c r="E21" s="24" t="n">
        <f aca="false">MEDIAN(E$5:E$15)</f>
        <v>5</v>
      </c>
      <c r="F21" s="24" t="n">
        <f aca="false">MIN(E$5:E$15)</f>
        <v>1.625</v>
      </c>
      <c r="G21" s="24" t="n">
        <f aca="false">MAX(E$5:E$15)</f>
        <v>5</v>
      </c>
      <c r="H21" s="24" t="n">
        <f aca="false">STDEV(E$5:E$15)</f>
        <v>1.09297862409439</v>
      </c>
      <c r="I21" s="26" t="n">
        <f aca="false">COUNTIF(E$5:E$15,"&gt;="&amp;Rúbrica!$D$6)</f>
        <v>10</v>
      </c>
      <c r="J21" s="30" t="n">
        <f aca="false">I21/COUNT(E$5:E$15)</f>
        <v>0.909090909090909</v>
      </c>
      <c r="K21" s="26" t="str">
        <f aca="false">INDEX($A$5:$A$15,MATCH(MAX(E$5:E$15),E$5:E$15,0))</f>
        <v>G2</v>
      </c>
      <c r="L21" s="26" t="str">
        <f aca="false">INDEX($A$5:$A$15,MATCH(MIN(E$5:E$15),E$5:E$15,0))</f>
        <v>G1</v>
      </c>
    </row>
    <row r="22" customFormat="false" ht="15" hidden="false" customHeight="false" outlineLevel="0" collapsed="false">
      <c r="A22" s="6" t="s">
        <v>42</v>
      </c>
      <c r="B22" s="10" t="s">
        <v>43</v>
      </c>
      <c r="C22" s="23" t="n">
        <f aca="false">Rúbrica!C14</f>
        <v>0.09</v>
      </c>
      <c r="D22" s="24" t="n">
        <f aca="false">AVERAGE(F$5:F$15)</f>
        <v>3.19318181818182</v>
      </c>
      <c r="E22" s="24" t="n">
        <f aca="false">MEDIAN(F$5:F$15)</f>
        <v>3.375</v>
      </c>
      <c r="F22" s="24" t="n">
        <f aca="false">MIN(F$5:F$15)</f>
        <v>1.625</v>
      </c>
      <c r="G22" s="24" t="n">
        <f aca="false">MAX(F$5:F$15)</f>
        <v>5</v>
      </c>
      <c r="H22" s="24" t="n">
        <f aca="false">STDEV(F$5:F$15)</f>
        <v>0.976863021941338</v>
      </c>
      <c r="I22" s="26" t="n">
        <f aca="false">COUNTIF(F$5:F$15,"&gt;="&amp;Rúbrica!$D$6)</f>
        <v>8</v>
      </c>
      <c r="J22" s="30" t="n">
        <f aca="false">I22/COUNT(F$5:F$15)</f>
        <v>0.727272727272727</v>
      </c>
      <c r="K22" s="26" t="str">
        <f aca="false">INDEX($A$5:$A$15,MATCH(MAX(F$5:F$15),F$5:F$15,0))</f>
        <v>G7</v>
      </c>
      <c r="L22" s="26" t="str">
        <f aca="false">INDEX($A$5:$A$15,MATCH(MIN(F$5:F$15),F$5:F$15,0))</f>
        <v>G2</v>
      </c>
    </row>
    <row r="23" customFormat="false" ht="15" hidden="false" customHeight="false" outlineLevel="0" collapsed="false">
      <c r="A23" s="6" t="s">
        <v>44</v>
      </c>
      <c r="B23" s="10" t="s">
        <v>45</v>
      </c>
      <c r="C23" s="23" t="n">
        <f aca="false">Rúbrica!C15</f>
        <v>0.13</v>
      </c>
      <c r="D23" s="24" t="n">
        <f aca="false">AVERAGE(G$5:G$15)</f>
        <v>3.125</v>
      </c>
      <c r="E23" s="24" t="n">
        <f aca="false">MEDIAN(G$5:G$15)</f>
        <v>3.125</v>
      </c>
      <c r="F23" s="24" t="n">
        <f aca="false">MIN(G$5:G$15)</f>
        <v>1.875</v>
      </c>
      <c r="G23" s="24" t="n">
        <f aca="false">MAX(G$5:G$15)</f>
        <v>5</v>
      </c>
      <c r="H23" s="24" t="n">
        <f aca="false">STDEV(G$5:G$15)</f>
        <v>1.1180339887499</v>
      </c>
      <c r="I23" s="26" t="n">
        <f aca="false">COUNTIF(G$5:G$15,"&gt;="&amp;Rúbrica!$D$6)</f>
        <v>6</v>
      </c>
      <c r="J23" s="30" t="n">
        <f aca="false">I23/COUNT(G$5:G$15)</f>
        <v>0.545454545454545</v>
      </c>
      <c r="K23" s="26" t="str">
        <f aca="false">INDEX($A$5:$A$15,MATCH(MAX(G$5:G$15),G$5:G$15,0))</f>
        <v>G8</v>
      </c>
      <c r="L23" s="26" t="str">
        <f aca="false">INDEX($A$5:$A$15,MATCH(MIN(G$5:G$15),G$5:G$15,0))</f>
        <v>G1</v>
      </c>
    </row>
    <row r="24" customFormat="false" ht="15" hidden="false" customHeight="false" outlineLevel="0" collapsed="false">
      <c r="A24" s="6" t="s">
        <v>46</v>
      </c>
      <c r="B24" s="10" t="s">
        <v>47</v>
      </c>
      <c r="C24" s="23" t="n">
        <f aca="false">Rúbrica!C16</f>
        <v>0.14</v>
      </c>
      <c r="D24" s="24" t="n">
        <f aca="false">AVERAGE(H$5:H$15)</f>
        <v>3.53409090909091</v>
      </c>
      <c r="E24" s="24" t="n">
        <f aca="false">MEDIAN(H$5:H$15)</f>
        <v>3.875</v>
      </c>
      <c r="F24" s="24" t="n">
        <f aca="false">MIN(H$5:H$15)</f>
        <v>1.75</v>
      </c>
      <c r="G24" s="24" t="n">
        <f aca="false">MAX(H$5:H$15)</f>
        <v>4.625</v>
      </c>
      <c r="H24" s="24" t="n">
        <f aca="false">STDEV(H$5:H$15)</f>
        <v>0.989145636854903</v>
      </c>
      <c r="I24" s="26" t="n">
        <f aca="false">COUNTIF(H$5:H$15,"&gt;="&amp;Rúbrica!$D$6)</f>
        <v>9</v>
      </c>
      <c r="J24" s="30" t="n">
        <f aca="false">I24/COUNT(H$5:H$15)</f>
        <v>0.818181818181818</v>
      </c>
      <c r="K24" s="26" t="str">
        <f aca="false">INDEX($A$5:$A$15,MATCH(MAX(H$5:H$15),H$5:H$15,0))</f>
        <v>G6</v>
      </c>
      <c r="L24" s="26" t="str">
        <f aca="false">INDEX($A$5:$A$15,MATCH(MIN(H$5:H$15),H$5:H$15,0))</f>
        <v>G5</v>
      </c>
    </row>
    <row r="25" customFormat="false" ht="15" hidden="false" customHeight="false" outlineLevel="0" collapsed="false">
      <c r="A25" s="6" t="s">
        <v>48</v>
      </c>
      <c r="B25" s="10" t="s">
        <v>49</v>
      </c>
      <c r="C25" s="23" t="n">
        <f aca="false">Rúbrica!C17</f>
        <v>0.13</v>
      </c>
      <c r="D25" s="24" t="n">
        <f aca="false">AVERAGE(I$5:I$15)</f>
        <v>3.48863636363636</v>
      </c>
      <c r="E25" s="24" t="n">
        <f aca="false">MEDIAN(I$5:I$15)</f>
        <v>3.875</v>
      </c>
      <c r="F25" s="24" t="n">
        <f aca="false">MIN(I$5:I$15)</f>
        <v>0.625</v>
      </c>
      <c r="G25" s="24" t="n">
        <f aca="false">MAX(I$5:I$15)</f>
        <v>5</v>
      </c>
      <c r="H25" s="24" t="n">
        <f aca="false">STDEV(I$5:I$15)</f>
        <v>1.40362760536599</v>
      </c>
      <c r="I25" s="26" t="n">
        <f aca="false">COUNTIF(I$5:I$15,"&gt;="&amp;Rúbrica!$D$6)</f>
        <v>8</v>
      </c>
      <c r="J25" s="30" t="n">
        <f aca="false">I25/COUNT(I$5:I$15)</f>
        <v>0.727272727272727</v>
      </c>
      <c r="K25" s="26" t="str">
        <f aca="false">INDEX($A$5:$A$15,MATCH(MAX(I$5:I$15),I$5:I$15,0))</f>
        <v>G6</v>
      </c>
      <c r="L25" s="26" t="str">
        <f aca="false">INDEX($A$5:$A$15,MATCH(MIN(I$5:I$15),I$5:I$15,0))</f>
        <v>G5</v>
      </c>
    </row>
    <row r="26" customFormat="false" ht="15" hidden="false" customHeight="false" outlineLevel="0" collapsed="false">
      <c r="A26" s="6" t="s">
        <v>50</v>
      </c>
      <c r="B26" s="10" t="s">
        <v>51</v>
      </c>
      <c r="C26" s="23" t="n">
        <f aca="false">Rúbrica!C18</f>
        <v>0.1</v>
      </c>
      <c r="D26" s="24" t="n">
        <f aca="false">AVERAGE(J$5:J$15)</f>
        <v>2.30681818181818</v>
      </c>
      <c r="E26" s="24" t="n">
        <f aca="false">MEDIAN(J$5:J$15)</f>
        <v>2</v>
      </c>
      <c r="F26" s="24" t="n">
        <f aca="false">MIN(J$5:J$15)</f>
        <v>0.625</v>
      </c>
      <c r="G26" s="24" t="n">
        <f aca="false">MAX(J$5:J$15)</f>
        <v>4.5</v>
      </c>
      <c r="H26" s="24" t="n">
        <f aca="false">STDEV(J$5:J$15)</f>
        <v>1.22393274473574</v>
      </c>
      <c r="I26" s="26" t="n">
        <f aca="false">COUNTIF(J$5:J$15,"&gt;="&amp;Rúbrica!$D$6)</f>
        <v>4</v>
      </c>
      <c r="J26" s="30" t="n">
        <f aca="false">I26/COUNT(J$5:J$15)</f>
        <v>0.363636363636364</v>
      </c>
      <c r="K26" s="26" t="str">
        <f aca="false">INDEX($A$5:$A$15,MATCH(MAX(J$5:J$15),J$5:J$15,0))</f>
        <v>G6</v>
      </c>
      <c r="L26" s="26" t="str">
        <f aca="false">INDEX($A$5:$A$15,MATCH(MIN(J$5:J$15),J$5:J$15,0))</f>
        <v>G5</v>
      </c>
    </row>
    <row r="27" customFormat="false" ht="15" hidden="false" customHeight="false" outlineLevel="0" collapsed="false">
      <c r="A27" s="6" t="s">
        <v>136</v>
      </c>
      <c r="B27" s="10" t="s">
        <v>172</v>
      </c>
      <c r="C27" s="31" t="n">
        <f aca="false">SUM(C19:C26)</f>
        <v>1</v>
      </c>
      <c r="D27" s="24" t="n">
        <f aca="false">AVERAGE(K$5:K$15)</f>
        <v>3.38602272727273</v>
      </c>
      <c r="E27" s="24" t="n">
        <f aca="false">MEDIAN(K$5:K$15)</f>
        <v>3.56</v>
      </c>
      <c r="F27" s="24" t="n">
        <f aca="false">MIN(K$5:K$15)</f>
        <v>2.145</v>
      </c>
      <c r="G27" s="24" t="n">
        <f aca="false">MAX(K$5:K$15)</f>
        <v>4.395</v>
      </c>
      <c r="H27" s="24" t="n">
        <f aca="false">STDEV(K$5:K$15)</f>
        <v>0.813866316222645</v>
      </c>
      <c r="I27" s="26" t="n">
        <f aca="false">COUNTIF(K$5:K$15,"&gt;="&amp;Rúbrica!$D$6)</f>
        <v>8</v>
      </c>
      <c r="J27" s="30" t="n">
        <f aca="false">I27/COUNT(K$5:K$15)</f>
        <v>0.727272727272727</v>
      </c>
      <c r="K27" s="26" t="str">
        <f aca="false">INDEX($A$5:$A$15,MATCH(MAX(K$5:K$15),K$5:K$15,0))</f>
        <v>G7</v>
      </c>
      <c r="L27" s="26" t="str">
        <f aca="false">INDEX($A$5:$A$15,MATCH(MIN(K$5:K$15),K$5:K$15,0))</f>
        <v>G5</v>
      </c>
    </row>
    <row r="30" customFormat="false" ht="15" hidden="false" customHeight="false" outlineLevel="0" collapsed="false">
      <c r="A30" s="5" t="s">
        <v>173</v>
      </c>
      <c r="B30" s="5"/>
      <c r="C30" s="5"/>
      <c r="D30" s="5"/>
      <c r="E30" s="5"/>
      <c r="F30" s="5"/>
      <c r="G30" s="5"/>
      <c r="H30" s="5"/>
      <c r="I30" s="5"/>
      <c r="J30" s="5"/>
      <c r="K30" s="5"/>
      <c r="L30" s="5"/>
      <c r="M30" s="5"/>
      <c r="N30" s="5"/>
    </row>
    <row r="31" customFormat="false" ht="39.75" hidden="false" customHeight="true" outlineLevel="0" collapsed="false">
      <c r="A31" s="12" t="s">
        <v>33</v>
      </c>
      <c r="B31" s="12" t="s">
        <v>125</v>
      </c>
      <c r="C31" s="12" t="s">
        <v>174</v>
      </c>
      <c r="D31" s="12" t="s">
        <v>175</v>
      </c>
      <c r="E31" s="12" t="s">
        <v>176</v>
      </c>
      <c r="F31" s="12" t="s">
        <v>177</v>
      </c>
      <c r="G31" s="12" t="s">
        <v>178</v>
      </c>
      <c r="H31" s="12" t="s">
        <v>179</v>
      </c>
      <c r="I31" s="12" t="s">
        <v>180</v>
      </c>
    </row>
    <row r="32" customFormat="false" ht="42.75" hidden="false" customHeight="true" outlineLevel="0" collapsed="false">
      <c r="A32" s="20" t="s">
        <v>60</v>
      </c>
      <c r="B32" s="4" t="s">
        <v>61</v>
      </c>
      <c r="C32" s="26" t="n">
        <f aca="false">COUNTIF(Calificación!$E$5:$O$5,2)</f>
        <v>5</v>
      </c>
      <c r="D32" s="26" t="n">
        <f aca="false">COUNTIF(Calificación!$E$5:$O$5,1)</f>
        <v>6</v>
      </c>
      <c r="E32" s="26" t="n">
        <f aca="false">COUNTIF(Calificación!$E$5:$O$5,0)</f>
        <v>0</v>
      </c>
      <c r="F32" s="30" t="n">
        <f aca="false">C32/COUNT(Calificación!$E$5:$O$5)</f>
        <v>0.454545454545455</v>
      </c>
      <c r="G32" s="30" t="n">
        <f aca="false">E32/COUNT(Calificación!$E$5:$O$5)</f>
        <v>0</v>
      </c>
      <c r="H32" s="24" t="n">
        <f aca="false">AVERAGE(Calificación!$E$5:$O$5)</f>
        <v>1.45454545454545</v>
      </c>
      <c r="I32" s="20" t="str">
        <f aca="false">IF(G32&gt;=0.5,"Crítica",IF(G32&gt;=0.25,"Alta",IF(G32&gt;0,"Media","Sin casos con 0")))</f>
        <v>Sin casos con 0</v>
      </c>
    </row>
    <row r="33" customFormat="false" ht="30" hidden="false" customHeight="true" outlineLevel="0" collapsed="false">
      <c r="A33" s="20" t="s">
        <v>62</v>
      </c>
      <c r="B33" s="4" t="s">
        <v>63</v>
      </c>
      <c r="C33" s="26" t="n">
        <f aca="false">COUNTIF(Calificación!$E$6:$O$6,2)</f>
        <v>1</v>
      </c>
      <c r="D33" s="26" t="n">
        <f aca="false">COUNTIF(Calificación!$E$6:$O$6,1)</f>
        <v>7</v>
      </c>
      <c r="E33" s="26" t="n">
        <f aca="false">COUNTIF(Calificación!$E$6:$O$6,0)</f>
        <v>3</v>
      </c>
      <c r="F33" s="30" t="n">
        <f aca="false">C33/COUNT(Calificación!$E$6:$O$6)</f>
        <v>0.0909090909090909</v>
      </c>
      <c r="G33" s="30" t="n">
        <f aca="false">E33/COUNT(Calificación!$E$6:$O$6)</f>
        <v>0.272727272727273</v>
      </c>
      <c r="H33" s="24" t="n">
        <f aca="false">AVERAGE(Calificación!$E$6:$O$6)</f>
        <v>0.818181818181818</v>
      </c>
      <c r="I33" s="20" t="str">
        <f aca="false">IF(G33&gt;=0.5,"Crítica",IF(G33&gt;=0.25,"Alta",IF(G33&gt;0,"Media","Sin casos con 0")))</f>
        <v>Alta</v>
      </c>
    </row>
    <row r="34" customFormat="false" ht="30" hidden="false" customHeight="true" outlineLevel="0" collapsed="false">
      <c r="A34" s="20" t="s">
        <v>64</v>
      </c>
      <c r="B34" s="4" t="s">
        <v>65</v>
      </c>
      <c r="C34" s="26" t="n">
        <f aca="false">COUNTIF(Calificación!$E$7:$O$7,2)</f>
        <v>1</v>
      </c>
      <c r="D34" s="26" t="n">
        <f aca="false">COUNTIF(Calificación!$E$7:$O$7,1)</f>
        <v>6</v>
      </c>
      <c r="E34" s="26" t="n">
        <f aca="false">COUNTIF(Calificación!$E$7:$O$7,0)</f>
        <v>4</v>
      </c>
      <c r="F34" s="30" t="n">
        <f aca="false">C34/COUNT(Calificación!$E$7:$O$7)</f>
        <v>0.0909090909090909</v>
      </c>
      <c r="G34" s="30" t="n">
        <f aca="false">E34/COUNT(Calificación!$E$7:$O$7)</f>
        <v>0.363636363636364</v>
      </c>
      <c r="H34" s="24" t="n">
        <f aca="false">AVERAGE(Calificación!$E$7:$O$7)</f>
        <v>0.727272727272727</v>
      </c>
      <c r="I34" s="20" t="str">
        <f aca="false">IF(G34&gt;=0.5,"Crítica",IF(G34&gt;=0.25,"Alta",IF(G34&gt;0,"Media","Sin casos con 0")))</f>
        <v>Alta</v>
      </c>
    </row>
    <row r="35" customFormat="false" ht="30" hidden="false" customHeight="true" outlineLevel="0" collapsed="false">
      <c r="A35" s="20" t="s">
        <v>66</v>
      </c>
      <c r="B35" s="4" t="s">
        <v>67</v>
      </c>
      <c r="C35" s="26" t="n">
        <f aca="false">COUNTIF(Calificación!$E$8:$O$8,2)</f>
        <v>6</v>
      </c>
      <c r="D35" s="26" t="n">
        <f aca="false">COUNTIF(Calificación!$E$8:$O$8,1)</f>
        <v>4</v>
      </c>
      <c r="E35" s="26" t="n">
        <f aca="false">COUNTIF(Calificación!$E$8:$O$8,0)</f>
        <v>1</v>
      </c>
      <c r="F35" s="30" t="n">
        <f aca="false">C35/COUNT(Calificación!$E$8:$O$8)</f>
        <v>0.545454545454545</v>
      </c>
      <c r="G35" s="30" t="n">
        <f aca="false">E35/COUNT(Calificación!$E$8:$O$8)</f>
        <v>0.0909090909090909</v>
      </c>
      <c r="H35" s="24" t="n">
        <f aca="false">AVERAGE(Calificación!$E$8:$O$8)</f>
        <v>1.45454545454545</v>
      </c>
      <c r="I35" s="20" t="str">
        <f aca="false">IF(G35&gt;=0.5,"Crítica",IF(G35&gt;=0.25,"Alta",IF(G35&gt;0,"Media","Sin casos con 0")))</f>
        <v>Media</v>
      </c>
    </row>
    <row r="36" customFormat="false" ht="30" hidden="false" customHeight="true" outlineLevel="0" collapsed="false">
      <c r="A36" s="20" t="s">
        <v>68</v>
      </c>
      <c r="B36" s="4" t="s">
        <v>69</v>
      </c>
      <c r="C36" s="26" t="n">
        <f aca="false">COUNTIF(Calificación!$E$9:$O$9,2)</f>
        <v>5</v>
      </c>
      <c r="D36" s="26" t="n">
        <f aca="false">COUNTIF(Calificación!$E$9:$O$9,1)</f>
        <v>6</v>
      </c>
      <c r="E36" s="26" t="n">
        <f aca="false">COUNTIF(Calificación!$E$9:$O$9,0)</f>
        <v>0</v>
      </c>
      <c r="F36" s="30" t="n">
        <f aca="false">C36/COUNT(Calificación!$E$9:$O$9)</f>
        <v>0.454545454545455</v>
      </c>
      <c r="G36" s="30" t="n">
        <f aca="false">E36/COUNT(Calificación!$E$9:$O$9)</f>
        <v>0</v>
      </c>
      <c r="H36" s="24" t="n">
        <f aca="false">AVERAGE(Calificación!$E$9:$O$9)</f>
        <v>1.45454545454545</v>
      </c>
      <c r="I36" s="20" t="str">
        <f aca="false">IF(G36&gt;=0.5,"Crítica",IF(G36&gt;=0.25,"Alta",IF(G36&gt;0,"Media","Sin casos con 0")))</f>
        <v>Sin casos con 0</v>
      </c>
    </row>
    <row r="37" customFormat="false" ht="30" hidden="false" customHeight="true" outlineLevel="0" collapsed="false">
      <c r="A37" s="20" t="s">
        <v>70</v>
      </c>
      <c r="B37" s="4" t="s">
        <v>71</v>
      </c>
      <c r="C37" s="26" t="n">
        <f aca="false">COUNTIF(Calificación!$E$10:$O$10,2)</f>
        <v>9</v>
      </c>
      <c r="D37" s="26" t="n">
        <f aca="false">COUNTIF(Calificación!$E$10:$O$10,1)</f>
        <v>2</v>
      </c>
      <c r="E37" s="26" t="n">
        <f aca="false">COUNTIF(Calificación!$E$10:$O$10,0)</f>
        <v>0</v>
      </c>
      <c r="F37" s="30" t="n">
        <f aca="false">C37/COUNT(Calificación!$E$10:$O$10)</f>
        <v>0.818181818181818</v>
      </c>
      <c r="G37" s="30" t="n">
        <f aca="false">E37/COUNT(Calificación!$E$10:$O$10)</f>
        <v>0</v>
      </c>
      <c r="H37" s="24" t="n">
        <f aca="false">AVERAGE(Calificación!$E$10:$O$10)</f>
        <v>1.81818181818182</v>
      </c>
      <c r="I37" s="20" t="str">
        <f aca="false">IF(G37&gt;=0.5,"Crítica",IF(G37&gt;=0.25,"Alta",IF(G37&gt;0,"Media","Sin casos con 0")))</f>
        <v>Sin casos con 0</v>
      </c>
    </row>
    <row r="38" customFormat="false" ht="18" hidden="false" customHeight="true" outlineLevel="0" collapsed="false">
      <c r="A38" s="20" t="s">
        <v>72</v>
      </c>
      <c r="B38" s="4" t="s">
        <v>73</v>
      </c>
      <c r="C38" s="26" t="n">
        <f aca="false">COUNTIF(Calificación!$E$11:$O$11,2)</f>
        <v>8</v>
      </c>
      <c r="D38" s="26" t="n">
        <f aca="false">COUNTIF(Calificación!$E$11:$O$11,1)</f>
        <v>3</v>
      </c>
      <c r="E38" s="26" t="n">
        <f aca="false">COUNTIF(Calificación!$E$11:$O$11,0)</f>
        <v>0</v>
      </c>
      <c r="F38" s="30" t="n">
        <f aca="false">C38/COUNT(Calificación!$E$11:$O$11)</f>
        <v>0.727272727272727</v>
      </c>
      <c r="G38" s="30" t="n">
        <f aca="false">E38/COUNT(Calificación!$E$11:$O$11)</f>
        <v>0</v>
      </c>
      <c r="H38" s="24" t="n">
        <f aca="false">AVERAGE(Calificación!$E$11:$O$11)</f>
        <v>1.72727272727273</v>
      </c>
      <c r="I38" s="20" t="str">
        <f aca="false">IF(G38&gt;=0.5,"Crítica",IF(G38&gt;=0.25,"Alta",IF(G38&gt;0,"Media","Sin casos con 0")))</f>
        <v>Sin casos con 0</v>
      </c>
    </row>
    <row r="39" customFormat="false" ht="30" hidden="false" customHeight="true" outlineLevel="0" collapsed="false">
      <c r="A39" s="20" t="s">
        <v>74</v>
      </c>
      <c r="B39" s="4" t="s">
        <v>75</v>
      </c>
      <c r="C39" s="26" t="n">
        <f aca="false">COUNTIF(Calificación!$E$12:$O$12,2)</f>
        <v>7</v>
      </c>
      <c r="D39" s="26" t="n">
        <f aca="false">COUNTIF(Calificación!$E$12:$O$12,1)</f>
        <v>4</v>
      </c>
      <c r="E39" s="26" t="n">
        <f aca="false">COUNTIF(Calificación!$E$12:$O$12,0)</f>
        <v>0</v>
      </c>
      <c r="F39" s="30" t="n">
        <f aca="false">C39/COUNT(Calificación!$E$12:$O$12)</f>
        <v>0.636363636363636</v>
      </c>
      <c r="G39" s="30" t="n">
        <f aca="false">E39/COUNT(Calificación!$E$12:$O$12)</f>
        <v>0</v>
      </c>
      <c r="H39" s="24" t="n">
        <f aca="false">AVERAGE(Calificación!$E$12:$O$12)</f>
        <v>1.63636363636364</v>
      </c>
      <c r="I39" s="20" t="str">
        <f aca="false">IF(G39&gt;=0.5,"Crítica",IF(G39&gt;=0.25,"Alta",IF(G39&gt;0,"Media","Sin casos con 0")))</f>
        <v>Sin casos con 0</v>
      </c>
    </row>
    <row r="40" customFormat="false" ht="30" hidden="false" customHeight="true" outlineLevel="0" collapsed="false">
      <c r="A40" s="20" t="s">
        <v>76</v>
      </c>
      <c r="B40" s="4" t="s">
        <v>77</v>
      </c>
      <c r="C40" s="26" t="n">
        <f aca="false">COUNTIF(Calificación!$E$13:$O$13,2)</f>
        <v>6</v>
      </c>
      <c r="D40" s="26" t="n">
        <f aca="false">COUNTIF(Calificación!$E$13:$O$13,1)</f>
        <v>5</v>
      </c>
      <c r="E40" s="26" t="n">
        <f aca="false">COUNTIF(Calificación!$E$13:$O$13,0)</f>
        <v>0</v>
      </c>
      <c r="F40" s="30" t="n">
        <f aca="false">C40/COUNT(Calificación!$E$13:$O$13)</f>
        <v>0.545454545454545</v>
      </c>
      <c r="G40" s="30" t="n">
        <f aca="false">E40/COUNT(Calificación!$E$13:$O$13)</f>
        <v>0</v>
      </c>
      <c r="H40" s="24" t="n">
        <f aca="false">AVERAGE(Calificación!$E$13:$O$13)</f>
        <v>1.54545454545455</v>
      </c>
      <c r="I40" s="20" t="str">
        <f aca="false">IF(G40&gt;=0.5,"Crítica",IF(G40&gt;=0.25,"Alta",IF(G40&gt;0,"Media","Sin casos con 0")))</f>
        <v>Sin casos con 0</v>
      </c>
    </row>
    <row r="41" customFormat="false" ht="30" hidden="false" customHeight="true" outlineLevel="0" collapsed="false">
      <c r="A41" s="20" t="s">
        <v>78</v>
      </c>
      <c r="B41" s="4" t="s">
        <v>79</v>
      </c>
      <c r="C41" s="26" t="n">
        <f aca="false">COUNTIF(Calificación!$E$14:$O$14,2)</f>
        <v>8</v>
      </c>
      <c r="D41" s="26" t="n">
        <f aca="false">COUNTIF(Calificación!$E$14:$O$14,1)</f>
        <v>3</v>
      </c>
      <c r="E41" s="26" t="n">
        <f aca="false">COUNTIF(Calificación!$E$14:$O$14,0)</f>
        <v>0</v>
      </c>
      <c r="F41" s="30" t="n">
        <f aca="false">C41/COUNT(Calificación!$E$14:$O$14)</f>
        <v>0.727272727272727</v>
      </c>
      <c r="G41" s="30" t="n">
        <f aca="false">E41/COUNT(Calificación!$E$14:$O$14)</f>
        <v>0</v>
      </c>
      <c r="H41" s="24" t="n">
        <f aca="false">AVERAGE(Calificación!$E$14:$O$14)</f>
        <v>1.72727272727273</v>
      </c>
      <c r="I41" s="20" t="str">
        <f aca="false">IF(G41&gt;=0.5,"Crítica",IF(G41&gt;=0.25,"Alta",IF(G41&gt;0,"Media","Sin casos con 0")))</f>
        <v>Sin casos con 0</v>
      </c>
    </row>
    <row r="42" customFormat="false" ht="30" hidden="false" customHeight="true" outlineLevel="0" collapsed="false">
      <c r="A42" s="20" t="s">
        <v>80</v>
      </c>
      <c r="B42" s="4" t="s">
        <v>81</v>
      </c>
      <c r="C42" s="26" t="n">
        <f aca="false">COUNTIF(Calificación!$E$15:$O$15,2)</f>
        <v>9</v>
      </c>
      <c r="D42" s="26" t="n">
        <f aca="false">COUNTIF(Calificación!$E$15:$O$15,1)</f>
        <v>1</v>
      </c>
      <c r="E42" s="26" t="n">
        <f aca="false">COUNTIF(Calificación!$E$15:$O$15,0)</f>
        <v>1</v>
      </c>
      <c r="F42" s="30" t="n">
        <f aca="false">C42/COUNT(Calificación!$E$15:$O$15)</f>
        <v>0.818181818181818</v>
      </c>
      <c r="G42" s="30" t="n">
        <f aca="false">E42/COUNT(Calificación!$E$15:$O$15)</f>
        <v>0.0909090909090909</v>
      </c>
      <c r="H42" s="24" t="n">
        <f aca="false">AVERAGE(Calificación!$E$15:$O$15)</f>
        <v>1.72727272727273</v>
      </c>
      <c r="I42" s="20" t="str">
        <f aca="false">IF(G42&gt;=0.5,"Crítica",IF(G42&gt;=0.25,"Alta",IF(G42&gt;0,"Media","Sin casos con 0")))</f>
        <v>Media</v>
      </c>
    </row>
    <row r="43" customFormat="false" ht="30" hidden="false" customHeight="true" outlineLevel="0" collapsed="false">
      <c r="A43" s="20" t="s">
        <v>82</v>
      </c>
      <c r="B43" s="4" t="s">
        <v>83</v>
      </c>
      <c r="C43" s="26" t="n">
        <f aca="false">COUNTIF(Calificación!$E$16:$O$16,2)</f>
        <v>10</v>
      </c>
      <c r="D43" s="26" t="n">
        <f aca="false">COUNTIF(Calificación!$E$16:$O$16,1)</f>
        <v>1</v>
      </c>
      <c r="E43" s="26" t="n">
        <f aca="false">COUNTIF(Calificación!$E$16:$O$16,0)</f>
        <v>0</v>
      </c>
      <c r="F43" s="30" t="n">
        <f aca="false">C43/COUNT(Calificación!$E$16:$O$16)</f>
        <v>0.909090909090909</v>
      </c>
      <c r="G43" s="30" t="n">
        <f aca="false">E43/COUNT(Calificación!$E$16:$O$16)</f>
        <v>0</v>
      </c>
      <c r="H43" s="24" t="n">
        <f aca="false">AVERAGE(Calificación!$E$16:$O$16)</f>
        <v>1.90909090909091</v>
      </c>
      <c r="I43" s="20" t="str">
        <f aca="false">IF(G43&gt;=0.5,"Crítica",IF(G43&gt;=0.25,"Alta",IF(G43&gt;0,"Media","Sin casos con 0")))</f>
        <v>Sin casos con 0</v>
      </c>
    </row>
    <row r="44" customFormat="false" ht="42.75" hidden="false" customHeight="true" outlineLevel="0" collapsed="false">
      <c r="A44" s="20" t="s">
        <v>84</v>
      </c>
      <c r="B44" s="4" t="s">
        <v>85</v>
      </c>
      <c r="C44" s="26" t="n">
        <f aca="false">COUNTIF(Calificación!$E$17:$O$17,2)</f>
        <v>3</v>
      </c>
      <c r="D44" s="26" t="n">
        <f aca="false">COUNTIF(Calificación!$E$17:$O$17,1)</f>
        <v>7</v>
      </c>
      <c r="E44" s="26" t="n">
        <f aca="false">COUNTIF(Calificación!$E$17:$O$17,0)</f>
        <v>1</v>
      </c>
      <c r="F44" s="30" t="n">
        <f aca="false">C44/COUNT(Calificación!$E$17:$O$17)</f>
        <v>0.272727272727273</v>
      </c>
      <c r="G44" s="30" t="n">
        <f aca="false">E44/COUNT(Calificación!$E$17:$O$17)</f>
        <v>0.0909090909090909</v>
      </c>
      <c r="H44" s="24" t="n">
        <f aca="false">AVERAGE(Calificación!$E$17:$O$17)</f>
        <v>1.18181818181818</v>
      </c>
      <c r="I44" s="20" t="str">
        <f aca="false">IF(G44&gt;=0.5,"Crítica",IF(G44&gt;=0.25,"Alta",IF(G44&gt;0,"Media","Sin casos con 0")))</f>
        <v>Media</v>
      </c>
    </row>
    <row r="45" customFormat="false" ht="30" hidden="false" customHeight="true" outlineLevel="0" collapsed="false">
      <c r="A45" s="20" t="s">
        <v>86</v>
      </c>
      <c r="B45" s="4" t="s">
        <v>87</v>
      </c>
      <c r="C45" s="26" t="n">
        <f aca="false">COUNTIF(Calificación!$E$18:$O$18,2)</f>
        <v>4</v>
      </c>
      <c r="D45" s="26" t="n">
        <f aca="false">COUNTIF(Calificación!$E$18:$O$18,1)</f>
        <v>7</v>
      </c>
      <c r="E45" s="26" t="n">
        <f aca="false">COUNTIF(Calificación!$E$18:$O$18,0)</f>
        <v>0</v>
      </c>
      <c r="F45" s="30" t="n">
        <f aca="false">C45/COUNT(Calificación!$E$18:$O$18)</f>
        <v>0.363636363636364</v>
      </c>
      <c r="G45" s="30" t="n">
        <f aca="false">E45/COUNT(Calificación!$E$18:$O$18)</f>
        <v>0</v>
      </c>
      <c r="H45" s="24" t="n">
        <f aca="false">AVERAGE(Calificación!$E$18:$O$18)</f>
        <v>1.36363636363636</v>
      </c>
      <c r="I45" s="20" t="str">
        <f aca="false">IF(G45&gt;=0.5,"Crítica",IF(G45&gt;=0.25,"Alta",IF(G45&gt;0,"Media","Sin casos con 0")))</f>
        <v>Sin casos con 0</v>
      </c>
    </row>
    <row r="46" customFormat="false" ht="30" hidden="false" customHeight="true" outlineLevel="0" collapsed="false">
      <c r="A46" s="20" t="s">
        <v>88</v>
      </c>
      <c r="B46" s="4" t="s">
        <v>89</v>
      </c>
      <c r="C46" s="26" t="n">
        <f aca="false">COUNTIF(Calificación!$E$19:$O$19,2)</f>
        <v>4</v>
      </c>
      <c r="D46" s="26" t="n">
        <f aca="false">COUNTIF(Calificación!$E$19:$O$19,1)</f>
        <v>6</v>
      </c>
      <c r="E46" s="26" t="n">
        <f aca="false">COUNTIF(Calificación!$E$19:$O$19,0)</f>
        <v>1</v>
      </c>
      <c r="F46" s="30" t="n">
        <f aca="false">C46/COUNT(Calificación!$E$19:$O$19)</f>
        <v>0.363636363636364</v>
      </c>
      <c r="G46" s="30" t="n">
        <f aca="false">E46/COUNT(Calificación!$E$19:$O$19)</f>
        <v>0.0909090909090909</v>
      </c>
      <c r="H46" s="24" t="n">
        <f aca="false">AVERAGE(Calificación!$E$19:$O$19)</f>
        <v>1.27272727272727</v>
      </c>
      <c r="I46" s="20" t="str">
        <f aca="false">IF(G46&gt;=0.5,"Crítica",IF(G46&gt;=0.25,"Alta",IF(G46&gt;0,"Media","Sin casos con 0")))</f>
        <v>Media</v>
      </c>
    </row>
    <row r="47" customFormat="false" ht="30" hidden="false" customHeight="true" outlineLevel="0" collapsed="false">
      <c r="A47" s="20" t="s">
        <v>90</v>
      </c>
      <c r="B47" s="4" t="s">
        <v>91</v>
      </c>
      <c r="C47" s="26" t="n">
        <f aca="false">COUNTIF(Calificación!$E$20:$O$20,2)</f>
        <v>5</v>
      </c>
      <c r="D47" s="26" t="n">
        <f aca="false">COUNTIF(Calificación!$E$20:$O$20,1)</f>
        <v>6</v>
      </c>
      <c r="E47" s="26" t="n">
        <f aca="false">COUNTIF(Calificación!$E$20:$O$20,0)</f>
        <v>0</v>
      </c>
      <c r="F47" s="30" t="n">
        <f aca="false">C47/COUNT(Calificación!$E$20:$O$20)</f>
        <v>0.454545454545455</v>
      </c>
      <c r="G47" s="30" t="n">
        <f aca="false">E47/COUNT(Calificación!$E$20:$O$20)</f>
        <v>0</v>
      </c>
      <c r="H47" s="24" t="n">
        <f aca="false">AVERAGE(Calificación!$E$20:$O$20)</f>
        <v>1.45454545454545</v>
      </c>
      <c r="I47" s="20" t="str">
        <f aca="false">IF(G47&gt;=0.5,"Crítica",IF(G47&gt;=0.25,"Alta",IF(G47&gt;0,"Media","Sin casos con 0")))</f>
        <v>Sin casos con 0</v>
      </c>
    </row>
    <row r="48" customFormat="false" ht="30" hidden="false" customHeight="true" outlineLevel="0" collapsed="false">
      <c r="A48" s="20" t="s">
        <v>92</v>
      </c>
      <c r="B48" s="4" t="s">
        <v>93</v>
      </c>
      <c r="C48" s="26" t="n">
        <f aca="false">COUNTIF(Calificación!$E$21:$O$21,2)</f>
        <v>7</v>
      </c>
      <c r="D48" s="26" t="n">
        <f aca="false">COUNTIF(Calificación!$E$21:$O$21,1)</f>
        <v>4</v>
      </c>
      <c r="E48" s="26" t="n">
        <f aca="false">COUNTIF(Calificación!$E$21:$O$21,0)</f>
        <v>0</v>
      </c>
      <c r="F48" s="30" t="n">
        <f aca="false">C48/COUNT(Calificación!$E$21:$O$21)</f>
        <v>0.636363636363636</v>
      </c>
      <c r="G48" s="30" t="n">
        <f aca="false">E48/COUNT(Calificación!$E$21:$O$21)</f>
        <v>0</v>
      </c>
      <c r="H48" s="24" t="n">
        <f aca="false">AVERAGE(Calificación!$E$21:$O$21)</f>
        <v>1.63636363636364</v>
      </c>
      <c r="I48" s="20" t="str">
        <f aca="false">IF(G48&gt;=0.5,"Crítica",IF(G48&gt;=0.25,"Alta",IF(G48&gt;0,"Media","Sin casos con 0")))</f>
        <v>Sin casos con 0</v>
      </c>
    </row>
    <row r="49" customFormat="false" ht="30" hidden="false" customHeight="true" outlineLevel="0" collapsed="false">
      <c r="A49" s="20" t="s">
        <v>94</v>
      </c>
      <c r="B49" s="4" t="s">
        <v>95</v>
      </c>
      <c r="C49" s="26" t="n">
        <f aca="false">COUNTIF(Calificación!$E$22:$O$22,2)</f>
        <v>2</v>
      </c>
      <c r="D49" s="26" t="n">
        <f aca="false">COUNTIF(Calificación!$E$22:$O$22,1)</f>
        <v>6</v>
      </c>
      <c r="E49" s="26" t="n">
        <f aca="false">COUNTIF(Calificación!$E$22:$O$22,0)</f>
        <v>3</v>
      </c>
      <c r="F49" s="30" t="n">
        <f aca="false">C49/COUNT(Calificación!$E$22:$O$22)</f>
        <v>0.181818181818182</v>
      </c>
      <c r="G49" s="30" t="n">
        <f aca="false">E49/COUNT(Calificación!$E$22:$O$22)</f>
        <v>0.272727272727273</v>
      </c>
      <c r="H49" s="24" t="n">
        <f aca="false">AVERAGE(Calificación!$E$22:$O$22)</f>
        <v>0.909090909090909</v>
      </c>
      <c r="I49" s="20" t="str">
        <f aca="false">IF(G49&gt;=0.5,"Crítica",IF(G49&gt;=0.25,"Alta",IF(G49&gt;0,"Media","Sin casos con 0")))</f>
        <v>Alta</v>
      </c>
    </row>
    <row r="50" customFormat="false" ht="30" hidden="false" customHeight="true" outlineLevel="0" collapsed="false">
      <c r="A50" s="20" t="s">
        <v>96</v>
      </c>
      <c r="B50" s="4" t="s">
        <v>97</v>
      </c>
      <c r="C50" s="26" t="n">
        <f aca="false">COUNTIF(Calificación!$E$23:$O$23,2)</f>
        <v>3</v>
      </c>
      <c r="D50" s="26" t="n">
        <f aca="false">COUNTIF(Calificación!$E$23:$O$23,1)</f>
        <v>5</v>
      </c>
      <c r="E50" s="26" t="n">
        <f aca="false">COUNTIF(Calificación!$E$23:$O$23,0)</f>
        <v>3</v>
      </c>
      <c r="F50" s="30" t="n">
        <f aca="false">C50/COUNT(Calificación!$E$23:$O$23)</f>
        <v>0.272727272727273</v>
      </c>
      <c r="G50" s="30" t="n">
        <f aca="false">E50/COUNT(Calificación!$E$23:$O$23)</f>
        <v>0.272727272727273</v>
      </c>
      <c r="H50" s="24" t="n">
        <f aca="false">AVERAGE(Calificación!$E$23:$O$23)</f>
        <v>1</v>
      </c>
      <c r="I50" s="20" t="str">
        <f aca="false">IF(G50&gt;=0.5,"Crítica",IF(G50&gt;=0.25,"Alta",IF(G50&gt;0,"Media","Sin casos con 0")))</f>
        <v>Alta</v>
      </c>
    </row>
    <row r="51" customFormat="false" ht="18" hidden="false" customHeight="true" outlineLevel="0" collapsed="false">
      <c r="A51" s="20" t="s">
        <v>98</v>
      </c>
      <c r="B51" s="4" t="s">
        <v>99</v>
      </c>
      <c r="C51" s="26" t="n">
        <f aca="false">COUNTIF(Calificación!$E$24:$O$24,2)</f>
        <v>3</v>
      </c>
      <c r="D51" s="26" t="n">
        <f aca="false">COUNTIF(Calificación!$E$24:$O$24,1)</f>
        <v>8</v>
      </c>
      <c r="E51" s="26" t="n">
        <f aca="false">COUNTIF(Calificación!$E$24:$O$24,0)</f>
        <v>0</v>
      </c>
      <c r="F51" s="30" t="n">
        <f aca="false">C51/COUNT(Calificación!$E$24:$O$24)</f>
        <v>0.272727272727273</v>
      </c>
      <c r="G51" s="30" t="n">
        <f aca="false">E51/COUNT(Calificación!$E$24:$O$24)</f>
        <v>0</v>
      </c>
      <c r="H51" s="24" t="n">
        <f aca="false">AVERAGE(Calificación!$E$24:$O$24)</f>
        <v>1.27272727272727</v>
      </c>
      <c r="I51" s="20" t="str">
        <f aca="false">IF(G51&gt;=0.5,"Crítica",IF(G51&gt;=0.25,"Alta",IF(G51&gt;0,"Media","Sin casos con 0")))</f>
        <v>Sin casos con 0</v>
      </c>
    </row>
    <row r="52" customFormat="false" ht="30" hidden="false" customHeight="true" outlineLevel="0" collapsed="false">
      <c r="A52" s="20" t="s">
        <v>100</v>
      </c>
      <c r="B52" s="4" t="s">
        <v>101</v>
      </c>
      <c r="C52" s="26" t="n">
        <f aca="false">COUNTIF(Calificación!$E$25:$O$25,2)</f>
        <v>8</v>
      </c>
      <c r="D52" s="26" t="n">
        <f aca="false">COUNTIF(Calificación!$E$25:$O$25,1)</f>
        <v>3</v>
      </c>
      <c r="E52" s="26" t="n">
        <f aca="false">COUNTIF(Calificación!$E$25:$O$25,0)</f>
        <v>0</v>
      </c>
      <c r="F52" s="30" t="n">
        <f aca="false">C52/COUNT(Calificación!$E$25:$O$25)</f>
        <v>0.727272727272727</v>
      </c>
      <c r="G52" s="30" t="n">
        <f aca="false">E52/COUNT(Calificación!$E$25:$O$25)</f>
        <v>0</v>
      </c>
      <c r="H52" s="24" t="n">
        <f aca="false">AVERAGE(Calificación!$E$25:$O$25)</f>
        <v>1.72727272727273</v>
      </c>
      <c r="I52" s="20" t="str">
        <f aca="false">IF(G52&gt;=0.5,"Crítica",IF(G52&gt;=0.25,"Alta",IF(G52&gt;0,"Media","Sin casos con 0")))</f>
        <v>Sin casos con 0</v>
      </c>
    </row>
    <row r="53" customFormat="false" ht="30" hidden="false" customHeight="true" outlineLevel="0" collapsed="false">
      <c r="A53" s="20" t="s">
        <v>102</v>
      </c>
      <c r="B53" s="4" t="s">
        <v>103</v>
      </c>
      <c r="C53" s="26" t="n">
        <f aca="false">COUNTIF(Calificación!$E$26:$O$26,2)</f>
        <v>7</v>
      </c>
      <c r="D53" s="26" t="n">
        <f aca="false">COUNTIF(Calificación!$E$26:$O$26,1)</f>
        <v>1</v>
      </c>
      <c r="E53" s="26" t="n">
        <f aca="false">COUNTIF(Calificación!$E$26:$O$26,0)</f>
        <v>3</v>
      </c>
      <c r="F53" s="30" t="n">
        <f aca="false">C53/COUNT(Calificación!$E$26:$O$26)</f>
        <v>0.636363636363636</v>
      </c>
      <c r="G53" s="30" t="n">
        <f aca="false">E53/COUNT(Calificación!$E$26:$O$26)</f>
        <v>0.272727272727273</v>
      </c>
      <c r="H53" s="24" t="n">
        <f aca="false">AVERAGE(Calificación!$E$26:$O$26)</f>
        <v>1.36363636363636</v>
      </c>
      <c r="I53" s="20" t="str">
        <f aca="false">IF(G53&gt;=0.5,"Crítica",IF(G53&gt;=0.25,"Alta",IF(G53&gt;0,"Media","Sin casos con 0")))</f>
        <v>Alta</v>
      </c>
    </row>
    <row r="54" customFormat="false" ht="30" hidden="false" customHeight="true" outlineLevel="0" collapsed="false">
      <c r="A54" s="20" t="s">
        <v>104</v>
      </c>
      <c r="B54" s="4" t="s">
        <v>105</v>
      </c>
      <c r="C54" s="26" t="n">
        <f aca="false">COUNTIF(Calificación!$E$27:$O$27,2)</f>
        <v>3</v>
      </c>
      <c r="D54" s="26" t="n">
        <f aca="false">COUNTIF(Calificación!$E$27:$O$27,1)</f>
        <v>8</v>
      </c>
      <c r="E54" s="26" t="n">
        <f aca="false">COUNTIF(Calificación!$E$27:$O$27,0)</f>
        <v>0</v>
      </c>
      <c r="F54" s="30" t="n">
        <f aca="false">C54/COUNT(Calificación!$E$27:$O$27)</f>
        <v>0.272727272727273</v>
      </c>
      <c r="G54" s="30" t="n">
        <f aca="false">E54/COUNT(Calificación!$E$27:$O$27)</f>
        <v>0</v>
      </c>
      <c r="H54" s="24" t="n">
        <f aca="false">AVERAGE(Calificación!$E$27:$O$27)</f>
        <v>1.27272727272727</v>
      </c>
      <c r="I54" s="20" t="str">
        <f aca="false">IF(G54&gt;=0.5,"Crítica",IF(G54&gt;=0.25,"Alta",IF(G54&gt;0,"Media","Sin casos con 0")))</f>
        <v>Sin casos con 0</v>
      </c>
    </row>
    <row r="55" customFormat="false" ht="30" hidden="false" customHeight="true" outlineLevel="0" collapsed="false">
      <c r="A55" s="20" t="s">
        <v>106</v>
      </c>
      <c r="B55" s="4" t="s">
        <v>107</v>
      </c>
      <c r="C55" s="26" t="n">
        <f aca="false">COUNTIF(Calificación!$E$28:$O$28,2)</f>
        <v>6</v>
      </c>
      <c r="D55" s="26" t="n">
        <f aca="false">COUNTIF(Calificación!$E$28:$O$28,1)</f>
        <v>4</v>
      </c>
      <c r="E55" s="26" t="n">
        <f aca="false">COUNTIF(Calificación!$E$28:$O$28,0)</f>
        <v>1</v>
      </c>
      <c r="F55" s="30" t="n">
        <f aca="false">C55/COUNT(Calificación!$E$28:$O$28)</f>
        <v>0.545454545454545</v>
      </c>
      <c r="G55" s="30" t="n">
        <f aca="false">E55/COUNT(Calificación!$E$28:$O$28)</f>
        <v>0.0909090909090909</v>
      </c>
      <c r="H55" s="24" t="n">
        <f aca="false">AVERAGE(Calificación!$E$28:$O$28)</f>
        <v>1.45454545454545</v>
      </c>
      <c r="I55" s="20" t="str">
        <f aca="false">IF(G55&gt;=0.5,"Crítica",IF(G55&gt;=0.25,"Alta",IF(G55&gt;0,"Media","Sin casos con 0")))</f>
        <v>Media</v>
      </c>
    </row>
    <row r="56" customFormat="false" ht="30" hidden="false" customHeight="true" outlineLevel="0" collapsed="false">
      <c r="A56" s="20" t="s">
        <v>108</v>
      </c>
      <c r="B56" s="4" t="s">
        <v>109</v>
      </c>
      <c r="C56" s="26" t="n">
        <f aca="false">COUNTIF(Calificación!$E$29:$O$29,2)</f>
        <v>5</v>
      </c>
      <c r="D56" s="26" t="n">
        <f aca="false">COUNTIF(Calificación!$E$29:$O$29,1)</f>
        <v>4</v>
      </c>
      <c r="E56" s="26" t="n">
        <f aca="false">COUNTIF(Calificación!$E$29:$O$29,0)</f>
        <v>2</v>
      </c>
      <c r="F56" s="30" t="n">
        <f aca="false">C56/COUNT(Calificación!$E$29:$O$29)</f>
        <v>0.454545454545455</v>
      </c>
      <c r="G56" s="30" t="n">
        <f aca="false">E56/COUNT(Calificación!$E$29:$O$29)</f>
        <v>0.181818181818182</v>
      </c>
      <c r="H56" s="24" t="n">
        <f aca="false">AVERAGE(Calificación!$E$29:$O$29)</f>
        <v>1.27272727272727</v>
      </c>
      <c r="I56" s="20" t="str">
        <f aca="false">IF(G56&gt;=0.5,"Crítica",IF(G56&gt;=0.25,"Alta",IF(G56&gt;0,"Media","Sin casos con 0")))</f>
        <v>Media</v>
      </c>
    </row>
    <row r="57" customFormat="false" ht="30" hidden="false" customHeight="true" outlineLevel="0" collapsed="false">
      <c r="A57" s="20" t="s">
        <v>110</v>
      </c>
      <c r="B57" s="4" t="s">
        <v>111</v>
      </c>
      <c r="C57" s="26" t="n">
        <f aca="false">COUNTIF(Calificación!$E$30:$O$30,2)</f>
        <v>6</v>
      </c>
      <c r="D57" s="26" t="n">
        <f aca="false">COUNTIF(Calificación!$E$30:$O$30,1)</f>
        <v>5</v>
      </c>
      <c r="E57" s="26" t="n">
        <f aca="false">COUNTIF(Calificación!$E$30:$O$30,0)</f>
        <v>0</v>
      </c>
      <c r="F57" s="30" t="n">
        <f aca="false">C57/COUNT(Calificación!$E$30:$O$30)</f>
        <v>0.545454545454545</v>
      </c>
      <c r="G57" s="30" t="n">
        <f aca="false">E57/COUNT(Calificación!$E$30:$O$30)</f>
        <v>0</v>
      </c>
      <c r="H57" s="24" t="n">
        <f aca="false">AVERAGE(Calificación!$E$30:$O$30)</f>
        <v>1.54545454545455</v>
      </c>
      <c r="I57" s="20" t="str">
        <f aca="false">IF(G57&gt;=0.5,"Crítica",IF(G57&gt;=0.25,"Alta",IF(G57&gt;0,"Media","Sin casos con 0")))</f>
        <v>Sin casos con 0</v>
      </c>
    </row>
    <row r="58" customFormat="false" ht="30" hidden="false" customHeight="true" outlineLevel="0" collapsed="false">
      <c r="A58" s="20" t="s">
        <v>112</v>
      </c>
      <c r="B58" s="4" t="s">
        <v>113</v>
      </c>
      <c r="C58" s="26" t="n">
        <f aca="false">COUNTIF(Calificación!$E$31:$O$31,2)</f>
        <v>4</v>
      </c>
      <c r="D58" s="26" t="n">
        <f aca="false">COUNTIF(Calificación!$E$31:$O$31,1)</f>
        <v>6</v>
      </c>
      <c r="E58" s="26" t="n">
        <f aca="false">COUNTIF(Calificación!$E$31:$O$31,0)</f>
        <v>1</v>
      </c>
      <c r="F58" s="30" t="n">
        <f aca="false">C58/COUNT(Calificación!$E$31:$O$31)</f>
        <v>0.363636363636364</v>
      </c>
      <c r="G58" s="30" t="n">
        <f aca="false">E58/COUNT(Calificación!$E$31:$O$31)</f>
        <v>0.0909090909090909</v>
      </c>
      <c r="H58" s="24" t="n">
        <f aca="false">AVERAGE(Calificación!$E$31:$O$31)</f>
        <v>1.27272727272727</v>
      </c>
      <c r="I58" s="20" t="str">
        <f aca="false">IF(G58&gt;=0.5,"Crítica",IF(G58&gt;=0.25,"Alta",IF(G58&gt;0,"Media","Sin casos con 0")))</f>
        <v>Media</v>
      </c>
    </row>
    <row r="59" customFormat="false" ht="30" hidden="false" customHeight="true" outlineLevel="0" collapsed="false">
      <c r="A59" s="20" t="s">
        <v>114</v>
      </c>
      <c r="B59" s="4" t="s">
        <v>115</v>
      </c>
      <c r="C59" s="26" t="n">
        <f aca="false">COUNTIF(Calificación!$E$32:$O$32,2)</f>
        <v>3</v>
      </c>
      <c r="D59" s="26" t="n">
        <f aca="false">COUNTIF(Calificación!$E$32:$O$32,1)</f>
        <v>8</v>
      </c>
      <c r="E59" s="26" t="n">
        <f aca="false">COUNTIF(Calificación!$E$32:$O$32,0)</f>
        <v>0</v>
      </c>
      <c r="F59" s="30" t="n">
        <f aca="false">C59/COUNT(Calificación!$E$32:$O$32)</f>
        <v>0.272727272727273</v>
      </c>
      <c r="G59" s="30" t="n">
        <f aca="false">E59/COUNT(Calificación!$E$32:$O$32)</f>
        <v>0</v>
      </c>
      <c r="H59" s="24" t="n">
        <f aca="false">AVERAGE(Calificación!$E$32:$O$32)</f>
        <v>1.27272727272727</v>
      </c>
      <c r="I59" s="20" t="str">
        <f aca="false">IF(G59&gt;=0.5,"Crítica",IF(G59&gt;=0.25,"Alta",IF(G59&gt;0,"Media","Sin casos con 0")))</f>
        <v>Sin casos con 0</v>
      </c>
    </row>
    <row r="60" customFormat="false" ht="30" hidden="false" customHeight="true" outlineLevel="0" collapsed="false">
      <c r="A60" s="20" t="s">
        <v>116</v>
      </c>
      <c r="B60" s="4" t="s">
        <v>117</v>
      </c>
      <c r="C60" s="26" t="n">
        <f aca="false">COUNTIF(Calificación!$E$33:$O$33,2)</f>
        <v>2</v>
      </c>
      <c r="D60" s="26" t="n">
        <f aca="false">COUNTIF(Calificación!$E$33:$O$33,1)</f>
        <v>6</v>
      </c>
      <c r="E60" s="26" t="n">
        <f aca="false">COUNTIF(Calificación!$E$33:$O$33,0)</f>
        <v>3</v>
      </c>
      <c r="F60" s="30" t="n">
        <f aca="false">C60/COUNT(Calificación!$E$33:$O$33)</f>
        <v>0.181818181818182</v>
      </c>
      <c r="G60" s="30" t="n">
        <f aca="false">E60/COUNT(Calificación!$E$33:$O$33)</f>
        <v>0.272727272727273</v>
      </c>
      <c r="H60" s="24" t="n">
        <f aca="false">AVERAGE(Calificación!$E$33:$O$33)</f>
        <v>0.909090909090909</v>
      </c>
      <c r="I60" s="20" t="str">
        <f aca="false">IF(G60&gt;=0.5,"Crítica",IF(G60&gt;=0.25,"Alta",IF(G60&gt;0,"Media","Sin casos con 0")))</f>
        <v>Alta</v>
      </c>
    </row>
    <row r="61" customFormat="false" ht="30" hidden="false" customHeight="true" outlineLevel="0" collapsed="false">
      <c r="A61" s="20" t="s">
        <v>118</v>
      </c>
      <c r="B61" s="4" t="s">
        <v>119</v>
      </c>
      <c r="C61" s="26" t="n">
        <f aca="false">COUNTIF(Calificación!$E$34:$O$34,2)</f>
        <v>2</v>
      </c>
      <c r="D61" s="26" t="n">
        <f aca="false">COUNTIF(Calificación!$E$34:$O$34,1)</f>
        <v>5</v>
      </c>
      <c r="E61" s="26" t="n">
        <f aca="false">COUNTIF(Calificación!$E$34:$O$34,0)</f>
        <v>4</v>
      </c>
      <c r="F61" s="30" t="n">
        <f aca="false">C61/COUNT(Calificación!$E$34:$O$34)</f>
        <v>0.181818181818182</v>
      </c>
      <c r="G61" s="30" t="n">
        <f aca="false">E61/COUNT(Calificación!$E$34:$O$34)</f>
        <v>0.363636363636364</v>
      </c>
      <c r="H61" s="24" t="n">
        <f aca="false">AVERAGE(Calificación!$E$34:$O$34)</f>
        <v>0.818181818181818</v>
      </c>
      <c r="I61" s="20" t="str">
        <f aca="false">IF(G61&gt;=0.5,"Crítica",IF(G61&gt;=0.25,"Alta",IF(G61&gt;0,"Media","Sin casos con 0")))</f>
        <v>Alta</v>
      </c>
    </row>
    <row r="62" customFormat="false" ht="30" hidden="false" customHeight="true" outlineLevel="0" collapsed="false">
      <c r="A62" s="20" t="s">
        <v>120</v>
      </c>
      <c r="B62" s="4" t="s">
        <v>121</v>
      </c>
      <c r="C62" s="26" t="n">
        <f aca="false">COUNTIF(Calificación!$E$35:$O$35,2)</f>
        <v>0</v>
      </c>
      <c r="D62" s="26" t="n">
        <f aca="false">COUNTIF(Calificación!$E$35:$O$35,1)</f>
        <v>7</v>
      </c>
      <c r="E62" s="26" t="n">
        <f aca="false">COUNTIF(Calificación!$E$35:$O$35,0)</f>
        <v>4</v>
      </c>
      <c r="F62" s="30" t="n">
        <f aca="false">C62/COUNT(Calificación!$E$35:$O$35)</f>
        <v>0</v>
      </c>
      <c r="G62" s="30" t="n">
        <f aca="false">E62/COUNT(Calificación!$E$35:$O$35)</f>
        <v>0.363636363636364</v>
      </c>
      <c r="H62" s="24" t="n">
        <f aca="false">AVERAGE(Calificación!$E$35:$O$35)</f>
        <v>0.636363636363636</v>
      </c>
      <c r="I62" s="20" t="str">
        <f aca="false">IF(G62&gt;=0.5,"Crítica",IF(G62&gt;=0.25,"Alta",IF(G62&gt;0,"Media","Sin casos con 0")))</f>
        <v>Alta</v>
      </c>
    </row>
    <row r="65" customFormat="false" ht="15" hidden="false" customHeight="false" outlineLevel="0" collapsed="false">
      <c r="A65" s="5" t="s">
        <v>181</v>
      </c>
      <c r="B65" s="5"/>
      <c r="C65" s="5"/>
      <c r="D65" s="5"/>
      <c r="E65" s="5"/>
      <c r="F65" s="5"/>
      <c r="G65" s="5"/>
      <c r="H65" s="5"/>
      <c r="I65" s="5"/>
      <c r="J65" s="5"/>
      <c r="K65" s="5"/>
      <c r="L65" s="5"/>
      <c r="M65" s="5"/>
      <c r="N65" s="5"/>
    </row>
    <row r="66" customFormat="false" ht="24" hidden="false" customHeight="true" outlineLevel="0" collapsed="false">
      <c r="A66" s="12" t="s">
        <v>148</v>
      </c>
      <c r="B66" s="12" t="s">
        <v>182</v>
      </c>
      <c r="C66" s="12" t="s">
        <v>183</v>
      </c>
      <c r="D66" s="12" t="s">
        <v>184</v>
      </c>
    </row>
    <row r="67" customFormat="false" ht="15" hidden="false" customHeight="false" outlineLevel="0" collapsed="false">
      <c r="A67" s="6" t="s">
        <v>185</v>
      </c>
      <c r="B67" s="10" t="str">
        <f aca="false">"Nota ≥ "&amp;TEXT(Rúbrica!$D$7,"0.0")</f>
        <v>Nota ≥ 4.0</v>
      </c>
      <c r="C67" s="26" t="n">
        <f aca="false">COUNTIF($M$5:$M$15,A67)</f>
        <v>3</v>
      </c>
      <c r="D67" s="30" t="n">
        <f aca="false">C67/COUNTA($M$5:$M$15)</f>
        <v>0.272727272727273</v>
      </c>
    </row>
    <row r="68" customFormat="false" ht="15" hidden="false" customHeight="false" outlineLevel="0" collapsed="false">
      <c r="A68" s="6" t="s">
        <v>186</v>
      </c>
      <c r="B68" s="10" t="str">
        <f aca="false">"Nota ≥ "&amp;TEXT(Rúbrica!$D$6,"0.0")&amp;" y &lt; "&amp;TEXT(Rúbrica!$D$7,"0.0")</f>
        <v>Nota ≥ 3.0 y &lt; 4.0</v>
      </c>
      <c r="C68" s="26" t="n">
        <f aca="false">COUNTIF($M$5:$M$15,A68)</f>
        <v>5</v>
      </c>
      <c r="D68" s="30" t="n">
        <f aca="false">C68/COUNTA($M$5:$M$15)</f>
        <v>0.454545454545455</v>
      </c>
    </row>
    <row r="69" customFormat="false" ht="15" hidden="false" customHeight="false" outlineLevel="0" collapsed="false">
      <c r="A69" s="6" t="s">
        <v>187</v>
      </c>
      <c r="B69" s="10" t="str">
        <f aca="false">"Nota ≥ "&amp;TEXT(Rúbrica!$D$8,"0.0")&amp;" y &lt; "&amp;TEXT(Rúbrica!$D$6,"0.0")</f>
        <v>Nota ≥ 2.0 y &lt; 3.0</v>
      </c>
      <c r="C69" s="26" t="n">
        <f aca="false">COUNTIF($M$5:$M$15,A69)</f>
        <v>3</v>
      </c>
      <c r="D69" s="30" t="n">
        <f aca="false">C69/COUNTA($M$5:$M$15)</f>
        <v>0.272727272727273</v>
      </c>
    </row>
    <row r="70" customFormat="false" ht="15" hidden="false" customHeight="false" outlineLevel="0" collapsed="false">
      <c r="A70" s="6" t="s">
        <v>188</v>
      </c>
      <c r="B70" s="10" t="str">
        <f aca="false">"Nota &lt; "&amp;TEXT(Rúbrica!$D$8,"0.0")</f>
        <v>Nota &lt; 2.0</v>
      </c>
      <c r="C70" s="26" t="n">
        <f aca="false">COUNTIF($M$5:$M$15,A70)</f>
        <v>0</v>
      </c>
      <c r="D70" s="30" t="n">
        <f aca="false">C70/COUNTA($M$5:$M$15)</f>
        <v>0</v>
      </c>
    </row>
    <row r="71" customFormat="false" ht="15" hidden="false" customHeight="false" outlineLevel="0" collapsed="false">
      <c r="A71" s="14" t="s">
        <v>136</v>
      </c>
      <c r="B71" s="14"/>
      <c r="C71" s="32" t="n">
        <f aca="false">SUM(C67:C70)</f>
        <v>11</v>
      </c>
      <c r="D71" s="33" t="n">
        <f aca="false">SUM(D67:D70)</f>
        <v>1</v>
      </c>
    </row>
  </sheetData>
  <mergeCells count="4">
    <mergeCell ref="A3:N3"/>
    <mergeCell ref="A17:N17"/>
    <mergeCell ref="A30:N30"/>
    <mergeCell ref="A65:N65"/>
  </mergeCells>
  <conditionalFormatting sqref="C5:K15">
    <cfRule type="cellIs" priority="2" operator="lessThan" aboveAverage="0" equalAverage="0" bottom="0" percent="0" rank="0" text="" dxfId="0">
      <formula>Rúbrica!$D$6</formula>
    </cfRule>
  </conditionalFormatting>
  <conditionalFormatting sqref="I32:I62">
    <cfRule type="cellIs" priority="3" operator="equal" aboveAverage="0" equalAverage="0" bottom="0" percent="0" rank="0" text="" dxfId="0">
      <formula>"Crítica"</formula>
    </cfRule>
    <cfRule type="cellIs" priority="4" operator="equal" aboveAverage="0" equalAverage="0" bottom="0" percent="0" rank="0" text="" dxfId="3">
      <formula>"Alta"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E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 min="3" style="0" width="12"/>
    <col collapsed="false" customWidth="true" hidden="false" outlineLevel="0" max="5" min="5" style="0" width="135"/>
  </cols>
  <sheetData>
    <row r="1" customFormat="false" ht="17.35" hidden="false" customHeight="false" outlineLevel="0" collapsed="false">
      <c r="A1" s="1" t="s">
        <v>189</v>
      </c>
    </row>
    <row r="2" customFormat="false" ht="15" hidden="false" customHeight="false" outlineLevel="0" collapsed="false">
      <c r="A2" s="2" t="s">
        <v>190</v>
      </c>
    </row>
    <row r="4" customFormat="false" ht="30" hidden="false" customHeight="true" outlineLevel="0" collapsed="false">
      <c r="A4" s="12" t="s">
        <v>145</v>
      </c>
      <c r="B4" s="12" t="s">
        <v>54</v>
      </c>
      <c r="C4" s="12" t="s">
        <v>191</v>
      </c>
      <c r="D4" s="12" t="s">
        <v>192</v>
      </c>
      <c r="E4" s="12" t="s">
        <v>193</v>
      </c>
    </row>
    <row r="5" customFormat="false" ht="81.75" hidden="false" customHeight="true" outlineLevel="0" collapsed="false">
      <c r="A5" s="20" t="s">
        <v>78</v>
      </c>
      <c r="B5" s="4" t="s">
        <v>37</v>
      </c>
      <c r="C5" s="27" t="n">
        <f aca="false">Calificación!E39</f>
        <v>2</v>
      </c>
      <c r="D5" s="20" t="str">
        <f aca="false">IF(C5&gt;=Rúbrica!$D$6,"Logrado","No logrado")</f>
        <v>No logrado</v>
      </c>
      <c r="E5" s="4" t="s">
        <v>194</v>
      </c>
    </row>
    <row r="6" customFormat="false" ht="55.5" hidden="false" customHeight="true" outlineLevel="0" collapsed="false">
      <c r="A6" s="20" t="s">
        <v>78</v>
      </c>
      <c r="B6" s="4" t="s">
        <v>39</v>
      </c>
      <c r="C6" s="27" t="n">
        <f aca="false">Calificación!E40</f>
        <v>2.5</v>
      </c>
      <c r="D6" s="20" t="str">
        <f aca="false">IF(C6&gt;=Rúbrica!$D$6,"Logrado","No logrado")</f>
        <v>No logrado</v>
      </c>
      <c r="E6" s="4" t="s">
        <v>195</v>
      </c>
    </row>
    <row r="7" customFormat="false" ht="55.5" hidden="false" customHeight="true" outlineLevel="0" collapsed="false">
      <c r="A7" s="20" t="s">
        <v>78</v>
      </c>
      <c r="B7" s="4" t="s">
        <v>41</v>
      </c>
      <c r="C7" s="27" t="n">
        <f aca="false">Calificación!E41</f>
        <v>1.625</v>
      </c>
      <c r="D7" s="20" t="str">
        <f aca="false">IF(C7&gt;=Rúbrica!$D$6,"Logrado","No logrado")</f>
        <v>No logrado</v>
      </c>
      <c r="E7" s="4" t="s">
        <v>196</v>
      </c>
    </row>
    <row r="8" customFormat="false" ht="42.75" hidden="false" customHeight="true" outlineLevel="0" collapsed="false">
      <c r="A8" s="20" t="s">
        <v>78</v>
      </c>
      <c r="B8" s="4" t="s">
        <v>43</v>
      </c>
      <c r="C8" s="27" t="n">
        <f aca="false">Calificación!E42</f>
        <v>3.375</v>
      </c>
      <c r="D8" s="20" t="str">
        <f aca="false">IF(C8&gt;=Rúbrica!$D$6,"Logrado","No logrado")</f>
        <v>Logrado</v>
      </c>
      <c r="E8" s="4" t="s">
        <v>197</v>
      </c>
    </row>
    <row r="9" customFormat="false" ht="55.5" hidden="false" customHeight="true" outlineLevel="0" collapsed="false">
      <c r="A9" s="20" t="s">
        <v>78</v>
      </c>
      <c r="B9" s="4" t="s">
        <v>45</v>
      </c>
      <c r="C9" s="27" t="n">
        <f aca="false">Calificación!E43</f>
        <v>1.875</v>
      </c>
      <c r="D9" s="20" t="str">
        <f aca="false">IF(C9&gt;=Rúbrica!$D$6,"Logrado","No logrado")</f>
        <v>No logrado</v>
      </c>
      <c r="E9" s="4" t="s">
        <v>198</v>
      </c>
    </row>
    <row r="10" customFormat="false" ht="69" hidden="false" customHeight="true" outlineLevel="0" collapsed="false">
      <c r="A10" s="20" t="s">
        <v>78</v>
      </c>
      <c r="B10" s="4" t="s">
        <v>47</v>
      </c>
      <c r="C10" s="27" t="n">
        <f aca="false">Calificación!E44</f>
        <v>3.125</v>
      </c>
      <c r="D10" s="20" t="str">
        <f aca="false">IF(C10&gt;=Rúbrica!$D$6,"Logrado","No logrado")</f>
        <v>Logrado</v>
      </c>
      <c r="E10" s="4" t="s">
        <v>199</v>
      </c>
    </row>
    <row r="11" customFormat="false" ht="69" hidden="false" customHeight="true" outlineLevel="0" collapsed="false">
      <c r="A11" s="20" t="s">
        <v>78</v>
      </c>
      <c r="B11" s="4" t="s">
        <v>49</v>
      </c>
      <c r="C11" s="27" t="n">
        <f aca="false">Calificación!E45</f>
        <v>3</v>
      </c>
      <c r="D11" s="20" t="str">
        <f aca="false">IF(C11&gt;=Rúbrica!$D$6,"Logrado","No logrado")</f>
        <v>Logrado</v>
      </c>
      <c r="E11" s="4" t="s">
        <v>200</v>
      </c>
    </row>
    <row r="12" customFormat="false" ht="69" hidden="false" customHeight="true" outlineLevel="0" collapsed="false">
      <c r="A12" s="20" t="s">
        <v>78</v>
      </c>
      <c r="B12" s="4" t="s">
        <v>51</v>
      </c>
      <c r="C12" s="27" t="n">
        <f aca="false">Calificación!E46</f>
        <v>1.25</v>
      </c>
      <c r="D12" s="20" t="str">
        <f aca="false">IF(C12&gt;=Rúbrica!$D$6,"Logrado","No logrado")</f>
        <v>No logrado</v>
      </c>
      <c r="E12" s="4" t="s">
        <v>201</v>
      </c>
    </row>
    <row r="13" customFormat="false" ht="94.5" hidden="false" customHeight="true" outlineLevel="0" collapsed="false">
      <c r="A13" s="20" t="s">
        <v>80</v>
      </c>
      <c r="B13" s="4" t="s">
        <v>37</v>
      </c>
      <c r="C13" s="27" t="n">
        <f aca="false">Calificación!F39</f>
        <v>3.5</v>
      </c>
      <c r="D13" s="20" t="str">
        <f aca="false">IF(C13&gt;=Rúbrica!$D$6,"Logrado","No logrado")</f>
        <v>Logrado</v>
      </c>
      <c r="E13" s="4" t="s">
        <v>202</v>
      </c>
    </row>
    <row r="14" customFormat="false" ht="42.75" hidden="false" customHeight="true" outlineLevel="0" collapsed="false">
      <c r="A14" s="20" t="s">
        <v>80</v>
      </c>
      <c r="B14" s="4" t="s">
        <v>39</v>
      </c>
      <c r="C14" s="27" t="n">
        <f aca="false">Calificación!F40</f>
        <v>3.25</v>
      </c>
      <c r="D14" s="20" t="str">
        <f aca="false">IF(C14&gt;=Rúbrica!$D$6,"Logrado","No logrado")</f>
        <v>Logrado</v>
      </c>
      <c r="E14" s="4" t="s">
        <v>203</v>
      </c>
    </row>
    <row r="15" customFormat="false" ht="42.75" hidden="false" customHeight="true" outlineLevel="0" collapsed="false">
      <c r="A15" s="20" t="s">
        <v>80</v>
      </c>
      <c r="B15" s="4" t="s">
        <v>41</v>
      </c>
      <c r="C15" s="27" t="n">
        <f aca="false">Calificación!F41</f>
        <v>5</v>
      </c>
      <c r="D15" s="20" t="str">
        <f aca="false">IF(C15&gt;=Rúbrica!$D$6,"Logrado","No logrado")</f>
        <v>Logrado</v>
      </c>
      <c r="E15" s="4" t="s">
        <v>204</v>
      </c>
    </row>
    <row r="16" customFormat="false" ht="55.5" hidden="false" customHeight="true" outlineLevel="0" collapsed="false">
      <c r="A16" s="20" t="s">
        <v>80</v>
      </c>
      <c r="B16" s="4" t="s">
        <v>43</v>
      </c>
      <c r="C16" s="27" t="n">
        <f aca="false">Calificación!F42</f>
        <v>1.625</v>
      </c>
      <c r="D16" s="20" t="str">
        <f aca="false">IF(C16&gt;=Rúbrica!$D$6,"Logrado","No logrado")</f>
        <v>No logrado</v>
      </c>
      <c r="E16" s="4" t="s">
        <v>205</v>
      </c>
    </row>
    <row r="17" customFormat="false" ht="69" hidden="false" customHeight="true" outlineLevel="0" collapsed="false">
      <c r="A17" s="20" t="s">
        <v>80</v>
      </c>
      <c r="B17" s="4" t="s">
        <v>45</v>
      </c>
      <c r="C17" s="27" t="n">
        <f aca="false">Calificación!F43</f>
        <v>2.5</v>
      </c>
      <c r="D17" s="20" t="str">
        <f aca="false">IF(C17&gt;=Rúbrica!$D$6,"Logrado","No logrado")</f>
        <v>No logrado</v>
      </c>
      <c r="E17" s="4" t="s">
        <v>206</v>
      </c>
    </row>
    <row r="18" customFormat="false" ht="81.75" hidden="false" customHeight="true" outlineLevel="0" collapsed="false">
      <c r="A18" s="20" t="s">
        <v>80</v>
      </c>
      <c r="B18" s="4" t="s">
        <v>47</v>
      </c>
      <c r="C18" s="27" t="n">
        <f aca="false">Calificación!F44</f>
        <v>3.625</v>
      </c>
      <c r="D18" s="20" t="str">
        <f aca="false">IF(C18&gt;=Rúbrica!$D$6,"Logrado","No logrado")</f>
        <v>Logrado</v>
      </c>
      <c r="E18" s="4" t="s">
        <v>207</v>
      </c>
    </row>
    <row r="19" customFormat="false" ht="69" hidden="false" customHeight="true" outlineLevel="0" collapsed="false">
      <c r="A19" s="20" t="s">
        <v>80</v>
      </c>
      <c r="B19" s="4" t="s">
        <v>49</v>
      </c>
      <c r="C19" s="27" t="n">
        <f aca="false">Calificación!F45</f>
        <v>2.5</v>
      </c>
      <c r="D19" s="20" t="str">
        <f aca="false">IF(C19&gt;=Rúbrica!$D$6,"Logrado","No logrado")</f>
        <v>No logrado</v>
      </c>
      <c r="E19" s="4" t="s">
        <v>208</v>
      </c>
    </row>
    <row r="20" customFormat="false" ht="94.5" hidden="false" customHeight="true" outlineLevel="0" collapsed="false">
      <c r="A20" s="20" t="s">
        <v>80</v>
      </c>
      <c r="B20" s="4" t="s">
        <v>51</v>
      </c>
      <c r="C20" s="27" t="n">
        <f aca="false">Calificación!F46</f>
        <v>2</v>
      </c>
      <c r="D20" s="20" t="str">
        <f aca="false">IF(C20&gt;=Rúbrica!$D$6,"Logrado","No logrado")</f>
        <v>No logrado</v>
      </c>
      <c r="E20" s="4" t="s">
        <v>209</v>
      </c>
    </row>
    <row r="21" customFormat="false" ht="94.5" hidden="false" customHeight="true" outlineLevel="0" collapsed="false">
      <c r="A21" s="20" t="s">
        <v>82</v>
      </c>
      <c r="B21" s="4" t="s">
        <v>37</v>
      </c>
      <c r="C21" s="27" t="n">
        <f aca="false">Calificación!G39</f>
        <v>3.875</v>
      </c>
      <c r="D21" s="20" t="str">
        <f aca="false">IF(C21&gt;=Rúbrica!$D$6,"Logrado","No logrado")</f>
        <v>Logrado</v>
      </c>
      <c r="E21" s="4" t="s">
        <v>210</v>
      </c>
    </row>
    <row r="22" customFormat="false" ht="30" hidden="false" customHeight="true" outlineLevel="0" collapsed="false">
      <c r="A22" s="20" t="s">
        <v>82</v>
      </c>
      <c r="B22" s="4" t="s">
        <v>39</v>
      </c>
      <c r="C22" s="27" t="n">
        <f aca="false">Calificación!G40</f>
        <v>5</v>
      </c>
      <c r="D22" s="20" t="str">
        <f aca="false">IF(C22&gt;=Rúbrica!$D$6,"Logrado","No logrado")</f>
        <v>Logrado</v>
      </c>
      <c r="E22" s="4" t="s">
        <v>211</v>
      </c>
    </row>
    <row r="23" customFormat="false" ht="30" hidden="false" customHeight="true" outlineLevel="0" collapsed="false">
      <c r="A23" s="20" t="s">
        <v>82</v>
      </c>
      <c r="B23" s="4" t="s">
        <v>41</v>
      </c>
      <c r="C23" s="27" t="n">
        <f aca="false">Calificación!G41</f>
        <v>5</v>
      </c>
      <c r="D23" s="20" t="str">
        <f aca="false">IF(C23&gt;=Rúbrica!$D$6,"Logrado","No logrado")</f>
        <v>Logrado</v>
      </c>
      <c r="E23" s="4" t="s">
        <v>212</v>
      </c>
    </row>
    <row r="24" customFormat="false" ht="42.75" hidden="false" customHeight="true" outlineLevel="0" collapsed="false">
      <c r="A24" s="20" t="s">
        <v>82</v>
      </c>
      <c r="B24" s="4" t="s">
        <v>43</v>
      </c>
      <c r="C24" s="27" t="n">
        <f aca="false">Calificación!G42</f>
        <v>3.375</v>
      </c>
      <c r="D24" s="20" t="str">
        <f aca="false">IF(C24&gt;=Rúbrica!$D$6,"Logrado","No logrado")</f>
        <v>Logrado</v>
      </c>
      <c r="E24" s="4" t="s">
        <v>213</v>
      </c>
    </row>
    <row r="25" customFormat="false" ht="55.5" hidden="false" customHeight="true" outlineLevel="0" collapsed="false">
      <c r="A25" s="20" t="s">
        <v>82</v>
      </c>
      <c r="B25" s="4" t="s">
        <v>45</v>
      </c>
      <c r="C25" s="27" t="n">
        <f aca="false">Calificación!G43</f>
        <v>4.375</v>
      </c>
      <c r="D25" s="20" t="str">
        <f aca="false">IF(C25&gt;=Rúbrica!$D$6,"Logrado","No logrado")</f>
        <v>Logrado</v>
      </c>
      <c r="E25" s="4" t="s">
        <v>214</v>
      </c>
    </row>
    <row r="26" customFormat="false" ht="69" hidden="false" customHeight="true" outlineLevel="0" collapsed="false">
      <c r="A26" s="20" t="s">
        <v>82</v>
      </c>
      <c r="B26" s="4" t="s">
        <v>47</v>
      </c>
      <c r="C26" s="27" t="n">
        <f aca="false">Calificación!G44</f>
        <v>4.25</v>
      </c>
      <c r="D26" s="20" t="str">
        <f aca="false">IF(C26&gt;=Rúbrica!$D$6,"Logrado","No logrado")</f>
        <v>Logrado</v>
      </c>
      <c r="E26" s="4" t="s">
        <v>215</v>
      </c>
    </row>
    <row r="27" customFormat="false" ht="69" hidden="false" customHeight="true" outlineLevel="0" collapsed="false">
      <c r="A27" s="20" t="s">
        <v>82</v>
      </c>
      <c r="B27" s="4" t="s">
        <v>49</v>
      </c>
      <c r="C27" s="27" t="n">
        <f aca="false">Calificación!G45</f>
        <v>1.875</v>
      </c>
      <c r="D27" s="20" t="str">
        <f aca="false">IF(C27&gt;=Rúbrica!$D$6,"Logrado","No logrado")</f>
        <v>No logrado</v>
      </c>
      <c r="E27" s="4" t="s">
        <v>216</v>
      </c>
    </row>
    <row r="28" customFormat="false" ht="108" hidden="false" customHeight="true" outlineLevel="0" collapsed="false">
      <c r="A28" s="20" t="s">
        <v>82</v>
      </c>
      <c r="B28" s="4" t="s">
        <v>51</v>
      </c>
      <c r="C28" s="27" t="n">
        <f aca="false">Calificación!G46</f>
        <v>1.125</v>
      </c>
      <c r="D28" s="20" t="str">
        <f aca="false">IF(C28&gt;=Rúbrica!$D$6,"Logrado","No logrado")</f>
        <v>No logrado</v>
      </c>
      <c r="E28" s="4" t="s">
        <v>217</v>
      </c>
    </row>
    <row r="29" customFormat="false" ht="147" hidden="false" customHeight="true" outlineLevel="0" collapsed="false">
      <c r="A29" s="20" t="s">
        <v>126</v>
      </c>
      <c r="B29" s="4" t="s">
        <v>37</v>
      </c>
      <c r="C29" s="27" t="n">
        <f aca="false">Calificación!H39</f>
        <v>2.5</v>
      </c>
      <c r="D29" s="20" t="str">
        <f aca="false">IF(C29&gt;=Rúbrica!$D$6,"Logrado","No logrado")</f>
        <v>No logrado</v>
      </c>
      <c r="E29" s="4" t="s">
        <v>218</v>
      </c>
    </row>
    <row r="30" customFormat="false" ht="42.75" hidden="false" customHeight="true" outlineLevel="0" collapsed="false">
      <c r="A30" s="20" t="s">
        <v>126</v>
      </c>
      <c r="B30" s="4" t="s">
        <v>39</v>
      </c>
      <c r="C30" s="27" t="n">
        <f aca="false">Calificación!H40</f>
        <v>5</v>
      </c>
      <c r="D30" s="20" t="str">
        <f aca="false">IF(C30&gt;=Rúbrica!$D$6,"Logrado","No logrado")</f>
        <v>Logrado</v>
      </c>
      <c r="E30" s="4" t="s">
        <v>219</v>
      </c>
    </row>
    <row r="31" customFormat="false" ht="30" hidden="false" customHeight="true" outlineLevel="0" collapsed="false">
      <c r="A31" s="20" t="s">
        <v>126</v>
      </c>
      <c r="B31" s="4" t="s">
        <v>41</v>
      </c>
      <c r="C31" s="27" t="n">
        <f aca="false">Calificación!H41</f>
        <v>5</v>
      </c>
      <c r="D31" s="20" t="str">
        <f aca="false">IF(C31&gt;=Rúbrica!$D$6,"Logrado","No logrado")</f>
        <v>Logrado</v>
      </c>
      <c r="E31" s="4" t="s">
        <v>220</v>
      </c>
    </row>
    <row r="32" customFormat="false" ht="42.75" hidden="false" customHeight="true" outlineLevel="0" collapsed="false">
      <c r="A32" s="20" t="s">
        <v>126</v>
      </c>
      <c r="B32" s="4" t="s">
        <v>43</v>
      </c>
      <c r="C32" s="27" t="n">
        <f aca="false">Calificación!H42</f>
        <v>3.25</v>
      </c>
      <c r="D32" s="20" t="str">
        <f aca="false">IF(C32&gt;=Rúbrica!$D$6,"Logrado","No logrado")</f>
        <v>Logrado</v>
      </c>
      <c r="E32" s="4" t="s">
        <v>221</v>
      </c>
    </row>
    <row r="33" customFormat="false" ht="55.5" hidden="false" customHeight="true" outlineLevel="0" collapsed="false">
      <c r="A33" s="20" t="s">
        <v>126</v>
      </c>
      <c r="B33" s="4" t="s">
        <v>45</v>
      </c>
      <c r="C33" s="27" t="n">
        <f aca="false">Calificación!H43</f>
        <v>3.125</v>
      </c>
      <c r="D33" s="20" t="str">
        <f aca="false">IF(C33&gt;=Rúbrica!$D$6,"Logrado","No logrado")</f>
        <v>Logrado</v>
      </c>
      <c r="E33" s="4" t="s">
        <v>222</v>
      </c>
    </row>
    <row r="34" customFormat="false" ht="55.5" hidden="false" customHeight="true" outlineLevel="0" collapsed="false">
      <c r="A34" s="20" t="s">
        <v>126</v>
      </c>
      <c r="B34" s="4" t="s">
        <v>47</v>
      </c>
      <c r="C34" s="27" t="n">
        <f aca="false">Calificación!H44</f>
        <v>3.875</v>
      </c>
      <c r="D34" s="20" t="str">
        <f aca="false">IF(C34&gt;=Rúbrica!$D$6,"Logrado","No logrado")</f>
        <v>Logrado</v>
      </c>
      <c r="E34" s="4" t="s">
        <v>223</v>
      </c>
    </row>
    <row r="35" customFormat="false" ht="94.5" hidden="false" customHeight="true" outlineLevel="0" collapsed="false">
      <c r="A35" s="20" t="s">
        <v>126</v>
      </c>
      <c r="B35" s="4" t="s">
        <v>49</v>
      </c>
      <c r="C35" s="27" t="n">
        <f aca="false">Calificación!H45</f>
        <v>3.875</v>
      </c>
      <c r="D35" s="20" t="str">
        <f aca="false">IF(C35&gt;=Rúbrica!$D$6,"Logrado","No logrado")</f>
        <v>Logrado</v>
      </c>
      <c r="E35" s="4" t="s">
        <v>224</v>
      </c>
    </row>
    <row r="36" customFormat="false" ht="81.75" hidden="false" customHeight="true" outlineLevel="0" collapsed="false">
      <c r="A36" s="20" t="s">
        <v>126</v>
      </c>
      <c r="B36" s="4" t="s">
        <v>51</v>
      </c>
      <c r="C36" s="27" t="n">
        <f aca="false">Calificación!H46</f>
        <v>2.5</v>
      </c>
      <c r="D36" s="20" t="str">
        <f aca="false">IF(C36&gt;=Rúbrica!$D$6,"Logrado","No logrado")</f>
        <v>No logrado</v>
      </c>
      <c r="E36" s="4" t="s">
        <v>225</v>
      </c>
    </row>
    <row r="37" customFormat="false" ht="133.5" hidden="false" customHeight="true" outlineLevel="0" collapsed="false">
      <c r="A37" s="20" t="s">
        <v>127</v>
      </c>
      <c r="B37" s="4" t="s">
        <v>37</v>
      </c>
      <c r="C37" s="27" t="n">
        <f aca="false">Calificación!I39</f>
        <v>2.125</v>
      </c>
      <c r="D37" s="20" t="str">
        <f aca="false">IF(C37&gt;=Rúbrica!$D$6,"Logrado","No logrado")</f>
        <v>No logrado</v>
      </c>
      <c r="E37" s="4" t="s">
        <v>226</v>
      </c>
    </row>
    <row r="38" customFormat="false" ht="69" hidden="false" customHeight="true" outlineLevel="0" collapsed="false">
      <c r="A38" s="20" t="s">
        <v>127</v>
      </c>
      <c r="B38" s="4" t="s">
        <v>39</v>
      </c>
      <c r="C38" s="27" t="n">
        <f aca="false">Calificación!I40</f>
        <v>3.25</v>
      </c>
      <c r="D38" s="20" t="str">
        <f aca="false">IF(C38&gt;=Rúbrica!$D$6,"Logrado","No logrado")</f>
        <v>Logrado</v>
      </c>
      <c r="E38" s="4" t="s">
        <v>227</v>
      </c>
    </row>
    <row r="39" customFormat="false" ht="30" hidden="false" customHeight="true" outlineLevel="0" collapsed="false">
      <c r="A39" s="20" t="s">
        <v>127</v>
      </c>
      <c r="B39" s="4" t="s">
        <v>41</v>
      </c>
      <c r="C39" s="27" t="n">
        <f aca="false">Calificación!I41</f>
        <v>5</v>
      </c>
      <c r="D39" s="20" t="str">
        <f aca="false">IF(C39&gt;=Rúbrica!$D$6,"Logrado","No logrado")</f>
        <v>Logrado</v>
      </c>
      <c r="E39" s="4" t="s">
        <v>228</v>
      </c>
    </row>
    <row r="40" customFormat="false" ht="55.5" hidden="false" customHeight="true" outlineLevel="0" collapsed="false">
      <c r="A40" s="20" t="s">
        <v>127</v>
      </c>
      <c r="B40" s="4" t="s">
        <v>43</v>
      </c>
      <c r="C40" s="27" t="n">
        <f aca="false">Calificación!I42</f>
        <v>2.5</v>
      </c>
      <c r="D40" s="20" t="str">
        <f aca="false">IF(C40&gt;=Rúbrica!$D$6,"Logrado","No logrado")</f>
        <v>No logrado</v>
      </c>
      <c r="E40" s="4" t="s">
        <v>229</v>
      </c>
    </row>
    <row r="41" customFormat="false" ht="42.75" hidden="false" customHeight="true" outlineLevel="0" collapsed="false">
      <c r="A41" s="20" t="s">
        <v>127</v>
      </c>
      <c r="B41" s="4" t="s">
        <v>45</v>
      </c>
      <c r="C41" s="27" t="n">
        <f aca="false">Calificación!I43</f>
        <v>1.875</v>
      </c>
      <c r="D41" s="20" t="str">
        <f aca="false">IF(C41&gt;=Rúbrica!$D$6,"Logrado","No logrado")</f>
        <v>No logrado</v>
      </c>
      <c r="E41" s="4" t="s">
        <v>230</v>
      </c>
    </row>
    <row r="42" customFormat="false" ht="69" hidden="false" customHeight="true" outlineLevel="0" collapsed="false">
      <c r="A42" s="20" t="s">
        <v>127</v>
      </c>
      <c r="B42" s="4" t="s">
        <v>47</v>
      </c>
      <c r="C42" s="27" t="n">
        <f aca="false">Calificación!I44</f>
        <v>1.75</v>
      </c>
      <c r="D42" s="20" t="str">
        <f aca="false">IF(C42&gt;=Rúbrica!$D$6,"Logrado","No logrado")</f>
        <v>No logrado</v>
      </c>
      <c r="E42" s="4" t="s">
        <v>231</v>
      </c>
    </row>
    <row r="43" customFormat="false" ht="69" hidden="false" customHeight="true" outlineLevel="0" collapsed="false">
      <c r="A43" s="20" t="s">
        <v>127</v>
      </c>
      <c r="B43" s="4" t="s">
        <v>49</v>
      </c>
      <c r="C43" s="27" t="n">
        <f aca="false">Calificación!I45</f>
        <v>0.625</v>
      </c>
      <c r="D43" s="20" t="str">
        <f aca="false">IF(C43&gt;=Rúbrica!$D$6,"Logrado","No logrado")</f>
        <v>No logrado</v>
      </c>
      <c r="E43" s="4" t="s">
        <v>232</v>
      </c>
    </row>
    <row r="44" customFormat="false" ht="94.5" hidden="false" customHeight="true" outlineLevel="0" collapsed="false">
      <c r="A44" s="20" t="s">
        <v>127</v>
      </c>
      <c r="B44" s="4" t="s">
        <v>51</v>
      </c>
      <c r="C44" s="27" t="n">
        <f aca="false">Calificación!I46</f>
        <v>0.625</v>
      </c>
      <c r="D44" s="20" t="str">
        <f aca="false">IF(C44&gt;=Rúbrica!$D$6,"Logrado","No logrado")</f>
        <v>No logrado</v>
      </c>
      <c r="E44" s="4" t="s">
        <v>233</v>
      </c>
    </row>
    <row r="45" customFormat="false" ht="81.75" hidden="false" customHeight="true" outlineLevel="0" collapsed="false">
      <c r="A45" s="20" t="s">
        <v>128</v>
      </c>
      <c r="B45" s="4" t="s">
        <v>37</v>
      </c>
      <c r="C45" s="27" t="n">
        <f aca="false">Calificación!J39</f>
        <v>3.875</v>
      </c>
      <c r="D45" s="20" t="str">
        <f aca="false">IF(C45&gt;=Rúbrica!$D$6,"Logrado","No logrado")</f>
        <v>Logrado</v>
      </c>
      <c r="E45" s="4" t="s">
        <v>234</v>
      </c>
    </row>
    <row r="46" customFormat="false" ht="42.75" hidden="false" customHeight="true" outlineLevel="0" collapsed="false">
      <c r="A46" s="20" t="s">
        <v>128</v>
      </c>
      <c r="B46" s="4" t="s">
        <v>39</v>
      </c>
      <c r="C46" s="27" t="n">
        <f aca="false">Calificación!J40</f>
        <v>5</v>
      </c>
      <c r="D46" s="20" t="str">
        <f aca="false">IF(C46&gt;=Rúbrica!$D$6,"Logrado","No logrado")</f>
        <v>Logrado</v>
      </c>
      <c r="E46" s="4" t="s">
        <v>235</v>
      </c>
    </row>
    <row r="47" customFormat="false" ht="30" hidden="false" customHeight="true" outlineLevel="0" collapsed="false">
      <c r="A47" s="20" t="s">
        <v>128</v>
      </c>
      <c r="B47" s="4" t="s">
        <v>41</v>
      </c>
      <c r="C47" s="27" t="n">
        <f aca="false">Calificación!J41</f>
        <v>5</v>
      </c>
      <c r="D47" s="20" t="str">
        <f aca="false">IF(C47&gt;=Rúbrica!$D$6,"Logrado","No logrado")</f>
        <v>Logrado</v>
      </c>
      <c r="E47" s="4" t="s">
        <v>236</v>
      </c>
    </row>
    <row r="48" customFormat="false" ht="55.5" hidden="false" customHeight="true" outlineLevel="0" collapsed="false">
      <c r="A48" s="20" t="s">
        <v>128</v>
      </c>
      <c r="B48" s="4" t="s">
        <v>43</v>
      </c>
      <c r="C48" s="27" t="n">
        <f aca="false">Calificación!J42</f>
        <v>3.375</v>
      </c>
      <c r="D48" s="20" t="str">
        <f aca="false">IF(C48&gt;=Rúbrica!$D$6,"Logrado","No logrado")</f>
        <v>Logrado</v>
      </c>
      <c r="E48" s="4" t="s">
        <v>237</v>
      </c>
    </row>
    <row r="49" customFormat="false" ht="55.5" hidden="false" customHeight="true" outlineLevel="0" collapsed="false">
      <c r="A49" s="20" t="s">
        <v>128</v>
      </c>
      <c r="B49" s="4" t="s">
        <v>45</v>
      </c>
      <c r="C49" s="27" t="n">
        <f aca="false">Calificación!J43</f>
        <v>2.5</v>
      </c>
      <c r="D49" s="20" t="str">
        <f aca="false">IF(C49&gt;=Rúbrica!$D$6,"Logrado","No logrado")</f>
        <v>No logrado</v>
      </c>
      <c r="E49" s="4" t="s">
        <v>238</v>
      </c>
    </row>
    <row r="50" customFormat="false" ht="69" hidden="false" customHeight="true" outlineLevel="0" collapsed="false">
      <c r="A50" s="20" t="s">
        <v>128</v>
      </c>
      <c r="B50" s="4" t="s">
        <v>47</v>
      </c>
      <c r="C50" s="27" t="n">
        <f aca="false">Calificación!J44</f>
        <v>4.625</v>
      </c>
      <c r="D50" s="20" t="str">
        <f aca="false">IF(C50&gt;=Rúbrica!$D$6,"Logrado","No logrado")</f>
        <v>Logrado</v>
      </c>
      <c r="E50" s="4" t="s">
        <v>239</v>
      </c>
    </row>
    <row r="51" customFormat="false" ht="55.5" hidden="false" customHeight="true" outlineLevel="0" collapsed="false">
      <c r="A51" s="20" t="s">
        <v>128</v>
      </c>
      <c r="B51" s="4" t="s">
        <v>49</v>
      </c>
      <c r="C51" s="27" t="n">
        <f aca="false">Calificación!J45</f>
        <v>5</v>
      </c>
      <c r="D51" s="20" t="str">
        <f aca="false">IF(C51&gt;=Rúbrica!$D$6,"Logrado","No logrado")</f>
        <v>Logrado</v>
      </c>
      <c r="E51" s="4" t="s">
        <v>240</v>
      </c>
    </row>
    <row r="52" customFormat="false" ht="69" hidden="false" customHeight="true" outlineLevel="0" collapsed="false">
      <c r="A52" s="20" t="s">
        <v>128</v>
      </c>
      <c r="B52" s="4" t="s">
        <v>51</v>
      </c>
      <c r="C52" s="27" t="n">
        <f aca="false">Calificación!J46</f>
        <v>4.5</v>
      </c>
      <c r="D52" s="20" t="str">
        <f aca="false">IF(C52&gt;=Rúbrica!$D$6,"Logrado","No logrado")</f>
        <v>Logrado</v>
      </c>
      <c r="E52" s="4" t="s">
        <v>241</v>
      </c>
    </row>
    <row r="53" customFormat="false" ht="94.5" hidden="false" customHeight="true" outlineLevel="0" collapsed="false">
      <c r="A53" s="20" t="s">
        <v>129</v>
      </c>
      <c r="B53" s="4" t="s">
        <v>37</v>
      </c>
      <c r="C53" s="27" t="n">
        <f aca="false">Calificación!K39</f>
        <v>3.875</v>
      </c>
      <c r="D53" s="20" t="str">
        <f aca="false">IF(C53&gt;=Rúbrica!$D$6,"Logrado","No logrado")</f>
        <v>Logrado</v>
      </c>
      <c r="E53" s="4" t="s">
        <v>242</v>
      </c>
    </row>
    <row r="54" customFormat="false" ht="30" hidden="false" customHeight="true" outlineLevel="0" collapsed="false">
      <c r="A54" s="20" t="s">
        <v>129</v>
      </c>
      <c r="B54" s="4" t="s">
        <v>39</v>
      </c>
      <c r="C54" s="27" t="n">
        <f aca="false">Calificación!K40</f>
        <v>5</v>
      </c>
      <c r="D54" s="20" t="str">
        <f aca="false">IF(C54&gt;=Rúbrica!$D$6,"Logrado","No logrado")</f>
        <v>Logrado</v>
      </c>
      <c r="E54" s="4" t="s">
        <v>243</v>
      </c>
    </row>
    <row r="55" customFormat="false" ht="30" hidden="false" customHeight="true" outlineLevel="0" collapsed="false">
      <c r="A55" s="20" t="s">
        <v>129</v>
      </c>
      <c r="B55" s="4" t="s">
        <v>41</v>
      </c>
      <c r="C55" s="27" t="n">
        <f aca="false">Calificación!K41</f>
        <v>5</v>
      </c>
      <c r="D55" s="20" t="str">
        <f aca="false">IF(C55&gt;=Rúbrica!$D$6,"Logrado","No logrado")</f>
        <v>Logrado</v>
      </c>
      <c r="E55" s="4" t="s">
        <v>244</v>
      </c>
    </row>
    <row r="56" customFormat="false" ht="55.5" hidden="false" customHeight="true" outlineLevel="0" collapsed="false">
      <c r="A56" s="20" t="s">
        <v>129</v>
      </c>
      <c r="B56" s="4" t="s">
        <v>43</v>
      </c>
      <c r="C56" s="27" t="n">
        <f aca="false">Calificación!K42</f>
        <v>5</v>
      </c>
      <c r="D56" s="20" t="str">
        <f aca="false">IF(C56&gt;=Rúbrica!$D$6,"Logrado","No logrado")</f>
        <v>Logrado</v>
      </c>
      <c r="E56" s="4" t="s">
        <v>245</v>
      </c>
    </row>
    <row r="57" customFormat="false" ht="69" hidden="false" customHeight="true" outlineLevel="0" collapsed="false">
      <c r="A57" s="20" t="s">
        <v>129</v>
      </c>
      <c r="B57" s="4" t="s">
        <v>45</v>
      </c>
      <c r="C57" s="27" t="n">
        <f aca="false">Calificación!K43</f>
        <v>4.375</v>
      </c>
      <c r="D57" s="20" t="str">
        <f aca="false">IF(C57&gt;=Rúbrica!$D$6,"Logrado","No logrado")</f>
        <v>Logrado</v>
      </c>
      <c r="E57" s="4" t="s">
        <v>246</v>
      </c>
    </row>
    <row r="58" customFormat="false" ht="69" hidden="false" customHeight="true" outlineLevel="0" collapsed="false">
      <c r="A58" s="20" t="s">
        <v>129</v>
      </c>
      <c r="B58" s="4" t="s">
        <v>47</v>
      </c>
      <c r="C58" s="27" t="n">
        <f aca="false">Calificación!K44</f>
        <v>4.625</v>
      </c>
      <c r="D58" s="20" t="str">
        <f aca="false">IF(C58&gt;=Rúbrica!$D$6,"Logrado","No logrado")</f>
        <v>Logrado</v>
      </c>
      <c r="E58" s="4" t="s">
        <v>247</v>
      </c>
    </row>
    <row r="59" customFormat="false" ht="69" hidden="false" customHeight="true" outlineLevel="0" collapsed="false">
      <c r="A59" s="20" t="s">
        <v>129</v>
      </c>
      <c r="B59" s="4" t="s">
        <v>49</v>
      </c>
      <c r="C59" s="27" t="n">
        <f aca="false">Calificación!K45</f>
        <v>4.375</v>
      </c>
      <c r="D59" s="20" t="str">
        <f aca="false">IF(C59&gt;=Rúbrica!$D$6,"Logrado","No logrado")</f>
        <v>Logrado</v>
      </c>
      <c r="E59" s="4" t="s">
        <v>248</v>
      </c>
    </row>
    <row r="60" customFormat="false" ht="81.75" hidden="false" customHeight="true" outlineLevel="0" collapsed="false">
      <c r="A60" s="20" t="s">
        <v>129</v>
      </c>
      <c r="B60" s="4" t="s">
        <v>51</v>
      </c>
      <c r="C60" s="27" t="n">
        <f aca="false">Calificación!K46</f>
        <v>3.125</v>
      </c>
      <c r="D60" s="20" t="str">
        <f aca="false">IF(C60&gt;=Rúbrica!$D$6,"Logrado","No logrado")</f>
        <v>Logrado</v>
      </c>
      <c r="E60" s="4" t="s">
        <v>249</v>
      </c>
    </row>
    <row r="61" customFormat="false" ht="108" hidden="false" customHeight="true" outlineLevel="0" collapsed="false">
      <c r="A61" s="20" t="s">
        <v>130</v>
      </c>
      <c r="B61" s="4" t="s">
        <v>37</v>
      </c>
      <c r="C61" s="27" t="n">
        <f aca="false">Calificación!L39</f>
        <v>5</v>
      </c>
      <c r="D61" s="20" t="str">
        <f aca="false">IF(C61&gt;=Rúbrica!$D$6,"Logrado","No logrado")</f>
        <v>Logrado</v>
      </c>
      <c r="E61" s="4" t="s">
        <v>250</v>
      </c>
    </row>
    <row r="62" customFormat="false" ht="42.75" hidden="false" customHeight="true" outlineLevel="0" collapsed="false">
      <c r="A62" s="20" t="s">
        <v>130</v>
      </c>
      <c r="B62" s="4" t="s">
        <v>39</v>
      </c>
      <c r="C62" s="27" t="n">
        <f aca="false">Calificación!L40</f>
        <v>4.5</v>
      </c>
      <c r="D62" s="20" t="str">
        <f aca="false">IF(C62&gt;=Rúbrica!$D$6,"Logrado","No logrado")</f>
        <v>Logrado</v>
      </c>
      <c r="E62" s="4" t="s">
        <v>251</v>
      </c>
    </row>
    <row r="63" customFormat="false" ht="30" hidden="false" customHeight="true" outlineLevel="0" collapsed="false">
      <c r="A63" s="20" t="s">
        <v>130</v>
      </c>
      <c r="B63" s="4" t="s">
        <v>41</v>
      </c>
      <c r="C63" s="27" t="n">
        <f aca="false">Calificación!L41</f>
        <v>4.125</v>
      </c>
      <c r="D63" s="20" t="str">
        <f aca="false">IF(C63&gt;=Rúbrica!$D$6,"Logrado","No logrado")</f>
        <v>Logrado</v>
      </c>
      <c r="E63" s="4" t="s">
        <v>252</v>
      </c>
    </row>
    <row r="64" customFormat="false" ht="55.5" hidden="false" customHeight="true" outlineLevel="0" collapsed="false">
      <c r="A64" s="20" t="s">
        <v>130</v>
      </c>
      <c r="B64" s="4" t="s">
        <v>43</v>
      </c>
      <c r="C64" s="27" t="n">
        <f aca="false">Calificación!L42</f>
        <v>3.25</v>
      </c>
      <c r="D64" s="20" t="str">
        <f aca="false">IF(C64&gt;=Rúbrica!$D$6,"Logrado","No logrado")</f>
        <v>Logrado</v>
      </c>
      <c r="E64" s="4" t="s">
        <v>253</v>
      </c>
    </row>
    <row r="65" customFormat="false" ht="55.5" hidden="false" customHeight="true" outlineLevel="0" collapsed="false">
      <c r="A65" s="20" t="s">
        <v>130</v>
      </c>
      <c r="B65" s="4" t="s">
        <v>45</v>
      </c>
      <c r="C65" s="27" t="n">
        <f aca="false">Calificación!L43</f>
        <v>5</v>
      </c>
      <c r="D65" s="20" t="str">
        <f aca="false">IF(C65&gt;=Rúbrica!$D$6,"Logrado","No logrado")</f>
        <v>Logrado</v>
      </c>
      <c r="E65" s="4" t="s">
        <v>254</v>
      </c>
    </row>
    <row r="66" customFormat="false" ht="55.5" hidden="false" customHeight="true" outlineLevel="0" collapsed="false">
      <c r="A66" s="20" t="s">
        <v>130</v>
      </c>
      <c r="B66" s="4" t="s">
        <v>47</v>
      </c>
      <c r="C66" s="27" t="n">
        <f aca="false">Calificación!L44</f>
        <v>3.875</v>
      </c>
      <c r="D66" s="20" t="str">
        <f aca="false">IF(C66&gt;=Rúbrica!$D$6,"Logrado","No logrado")</f>
        <v>Logrado</v>
      </c>
      <c r="E66" s="4" t="s">
        <v>255</v>
      </c>
    </row>
    <row r="67" customFormat="false" ht="55.5" hidden="false" customHeight="true" outlineLevel="0" collapsed="false">
      <c r="A67" s="20" t="s">
        <v>130</v>
      </c>
      <c r="B67" s="4" t="s">
        <v>49</v>
      </c>
      <c r="C67" s="27" t="n">
        <f aca="false">Calificación!L45</f>
        <v>5</v>
      </c>
      <c r="D67" s="20" t="str">
        <f aca="false">IF(C67&gt;=Rúbrica!$D$6,"Logrado","No logrado")</f>
        <v>Logrado</v>
      </c>
      <c r="E67" s="4" t="s">
        <v>256</v>
      </c>
    </row>
    <row r="68" customFormat="false" ht="81.75" hidden="false" customHeight="true" outlineLevel="0" collapsed="false">
      <c r="A68" s="20" t="s">
        <v>130</v>
      </c>
      <c r="B68" s="4" t="s">
        <v>51</v>
      </c>
      <c r="C68" s="27" t="n">
        <f aca="false">Calificación!L46</f>
        <v>3.25</v>
      </c>
      <c r="D68" s="20" t="str">
        <f aca="false">IF(C68&gt;=Rúbrica!$D$6,"Logrado","No logrado")</f>
        <v>Logrado</v>
      </c>
      <c r="E68" s="4" t="s">
        <v>257</v>
      </c>
    </row>
    <row r="69" customFormat="false" ht="69" hidden="false" customHeight="true" outlineLevel="0" collapsed="false">
      <c r="A69" s="20" t="s">
        <v>131</v>
      </c>
      <c r="B69" s="4" t="s">
        <v>37</v>
      </c>
      <c r="C69" s="27" t="n">
        <f aca="false">Calificación!M39</f>
        <v>1.375</v>
      </c>
      <c r="D69" s="20" t="str">
        <f aca="false">IF(C69&gt;=Rúbrica!$D$6,"Logrado","No logrado")</f>
        <v>No logrado</v>
      </c>
      <c r="E69" s="4" t="s">
        <v>258</v>
      </c>
    </row>
    <row r="70" customFormat="false" ht="30" hidden="false" customHeight="true" outlineLevel="0" collapsed="false">
      <c r="A70" s="20" t="s">
        <v>131</v>
      </c>
      <c r="B70" s="4" t="s">
        <v>39</v>
      </c>
      <c r="C70" s="27" t="n">
        <f aca="false">Calificación!M40</f>
        <v>4.5</v>
      </c>
      <c r="D70" s="20" t="str">
        <f aca="false">IF(C70&gt;=Rúbrica!$D$6,"Logrado","No logrado")</f>
        <v>Logrado</v>
      </c>
      <c r="E70" s="4" t="s">
        <v>259</v>
      </c>
    </row>
    <row r="71" customFormat="false" ht="30" hidden="false" customHeight="true" outlineLevel="0" collapsed="false">
      <c r="A71" s="20" t="s">
        <v>131</v>
      </c>
      <c r="B71" s="4" t="s">
        <v>41</v>
      </c>
      <c r="C71" s="27" t="n">
        <f aca="false">Calificación!M41</f>
        <v>3.25</v>
      </c>
      <c r="D71" s="20" t="str">
        <f aca="false">IF(C71&gt;=Rúbrica!$D$6,"Logrado","No logrado")</f>
        <v>Logrado</v>
      </c>
      <c r="E71" s="4" t="s">
        <v>260</v>
      </c>
    </row>
    <row r="72" customFormat="false" ht="42.75" hidden="false" customHeight="true" outlineLevel="0" collapsed="false">
      <c r="A72" s="20" t="s">
        <v>131</v>
      </c>
      <c r="B72" s="4" t="s">
        <v>43</v>
      </c>
      <c r="C72" s="27" t="n">
        <f aca="false">Calificación!M42</f>
        <v>1.75</v>
      </c>
      <c r="D72" s="20" t="str">
        <f aca="false">IF(C72&gt;=Rúbrica!$D$6,"Logrado","No logrado")</f>
        <v>No logrado</v>
      </c>
      <c r="E72" s="4" t="s">
        <v>261</v>
      </c>
    </row>
    <row r="73" customFormat="false" ht="42.75" hidden="false" customHeight="true" outlineLevel="0" collapsed="false">
      <c r="A73" s="20" t="s">
        <v>131</v>
      </c>
      <c r="B73" s="4" t="s">
        <v>45</v>
      </c>
      <c r="C73" s="27" t="n">
        <f aca="false">Calificación!M43</f>
        <v>1.875</v>
      </c>
      <c r="D73" s="20" t="str">
        <f aca="false">IF(C73&gt;=Rúbrica!$D$6,"Logrado","No logrado")</f>
        <v>No logrado</v>
      </c>
      <c r="E73" s="4" t="s">
        <v>262</v>
      </c>
    </row>
    <row r="74" customFormat="false" ht="69" hidden="false" customHeight="true" outlineLevel="0" collapsed="false">
      <c r="A74" s="20" t="s">
        <v>131</v>
      </c>
      <c r="B74" s="4" t="s">
        <v>47</v>
      </c>
      <c r="C74" s="27" t="n">
        <f aca="false">Calificación!M44</f>
        <v>1.75</v>
      </c>
      <c r="D74" s="20" t="str">
        <f aca="false">IF(C74&gt;=Rúbrica!$D$6,"Logrado","No logrado")</f>
        <v>No logrado</v>
      </c>
      <c r="E74" s="4" t="s">
        <v>263</v>
      </c>
    </row>
    <row r="75" customFormat="false" ht="81.75" hidden="false" customHeight="true" outlineLevel="0" collapsed="false">
      <c r="A75" s="20" t="s">
        <v>131</v>
      </c>
      <c r="B75" s="4" t="s">
        <v>49</v>
      </c>
      <c r="C75" s="27" t="n">
        <f aca="false">Calificación!M45</f>
        <v>3.125</v>
      </c>
      <c r="D75" s="20" t="str">
        <f aca="false">IF(C75&gt;=Rúbrica!$D$6,"Logrado","No logrado")</f>
        <v>Logrado</v>
      </c>
      <c r="E75" s="4" t="s">
        <v>264</v>
      </c>
    </row>
    <row r="76" customFormat="false" ht="94.5" hidden="false" customHeight="true" outlineLevel="0" collapsed="false">
      <c r="A76" s="20" t="s">
        <v>131</v>
      </c>
      <c r="B76" s="4" t="s">
        <v>51</v>
      </c>
      <c r="C76" s="27" t="n">
        <f aca="false">Calificación!M46</f>
        <v>1.375</v>
      </c>
      <c r="D76" s="20" t="str">
        <f aca="false">IF(C76&gt;=Rúbrica!$D$6,"Logrado","No logrado")</f>
        <v>No logrado</v>
      </c>
      <c r="E76" s="4" t="s">
        <v>265</v>
      </c>
    </row>
    <row r="77" customFormat="false" ht="69" hidden="false" customHeight="true" outlineLevel="0" collapsed="false">
      <c r="A77" s="20" t="s">
        <v>132</v>
      </c>
      <c r="B77" s="4" t="s">
        <v>37</v>
      </c>
      <c r="C77" s="27" t="n">
        <f aca="false">Calificación!N39</f>
        <v>2.125</v>
      </c>
      <c r="D77" s="20" t="str">
        <f aca="false">IF(C77&gt;=Rúbrica!$D$6,"Logrado","No logrado")</f>
        <v>No logrado</v>
      </c>
      <c r="E77" s="4" t="s">
        <v>266</v>
      </c>
    </row>
    <row r="78" customFormat="false" ht="42.75" hidden="false" customHeight="true" outlineLevel="0" collapsed="false">
      <c r="A78" s="20" t="s">
        <v>132</v>
      </c>
      <c r="B78" s="4" t="s">
        <v>39</v>
      </c>
      <c r="C78" s="27" t="n">
        <f aca="false">Calificación!N40</f>
        <v>4.25</v>
      </c>
      <c r="D78" s="20" t="str">
        <f aca="false">IF(C78&gt;=Rúbrica!$D$6,"Logrado","No logrado")</f>
        <v>Logrado</v>
      </c>
      <c r="E78" s="4" t="s">
        <v>267</v>
      </c>
    </row>
    <row r="79" customFormat="false" ht="18" hidden="false" customHeight="true" outlineLevel="0" collapsed="false">
      <c r="A79" s="20" t="s">
        <v>132</v>
      </c>
      <c r="B79" s="4" t="s">
        <v>41</v>
      </c>
      <c r="C79" s="27" t="n">
        <f aca="false">Calificación!N41</f>
        <v>5</v>
      </c>
      <c r="D79" s="20" t="str">
        <f aca="false">IF(C79&gt;=Rúbrica!$D$6,"Logrado","No logrado")</f>
        <v>Logrado</v>
      </c>
      <c r="E79" s="4" t="s">
        <v>268</v>
      </c>
    </row>
    <row r="80" customFormat="false" ht="42.75" hidden="false" customHeight="true" outlineLevel="0" collapsed="false">
      <c r="A80" s="20" t="s">
        <v>132</v>
      </c>
      <c r="B80" s="4" t="s">
        <v>43</v>
      </c>
      <c r="C80" s="27" t="n">
        <f aca="false">Calificación!N42</f>
        <v>4.25</v>
      </c>
      <c r="D80" s="20" t="str">
        <f aca="false">IF(C80&gt;=Rúbrica!$D$6,"Logrado","No logrado")</f>
        <v>Logrado</v>
      </c>
      <c r="E80" s="4" t="s">
        <v>269</v>
      </c>
    </row>
    <row r="81" customFormat="false" ht="55.5" hidden="false" customHeight="true" outlineLevel="0" collapsed="false">
      <c r="A81" s="20" t="s">
        <v>132</v>
      </c>
      <c r="B81" s="4" t="s">
        <v>45</v>
      </c>
      <c r="C81" s="27" t="n">
        <f aca="false">Calificación!N43</f>
        <v>3.75</v>
      </c>
      <c r="D81" s="20" t="str">
        <f aca="false">IF(C81&gt;=Rúbrica!$D$6,"Logrado","No logrado")</f>
        <v>Logrado</v>
      </c>
      <c r="E81" s="4" t="s">
        <v>270</v>
      </c>
    </row>
    <row r="82" customFormat="false" ht="69" hidden="false" customHeight="true" outlineLevel="0" collapsed="false">
      <c r="A82" s="20" t="s">
        <v>132</v>
      </c>
      <c r="B82" s="4" t="s">
        <v>47</v>
      </c>
      <c r="C82" s="27" t="n">
        <f aca="false">Calificación!N44</f>
        <v>3.5</v>
      </c>
      <c r="D82" s="20" t="str">
        <f aca="false">IF(C82&gt;=Rúbrica!$D$6,"Logrado","No logrado")</f>
        <v>Logrado</v>
      </c>
      <c r="E82" s="4" t="s">
        <v>271</v>
      </c>
    </row>
    <row r="83" customFormat="false" ht="55.5" hidden="false" customHeight="true" outlineLevel="0" collapsed="false">
      <c r="A83" s="20" t="s">
        <v>132</v>
      </c>
      <c r="B83" s="4" t="s">
        <v>49</v>
      </c>
      <c r="C83" s="27" t="n">
        <f aca="false">Calificación!N45</f>
        <v>4.5</v>
      </c>
      <c r="D83" s="20" t="str">
        <f aca="false">IF(C83&gt;=Rúbrica!$D$6,"Logrado","No logrado")</f>
        <v>Logrado</v>
      </c>
      <c r="E83" s="4" t="s">
        <v>272</v>
      </c>
    </row>
    <row r="84" customFormat="false" ht="81.75" hidden="false" customHeight="true" outlineLevel="0" collapsed="false">
      <c r="A84" s="20" t="s">
        <v>132</v>
      </c>
      <c r="B84" s="4" t="s">
        <v>51</v>
      </c>
      <c r="C84" s="27" t="n">
        <f aca="false">Calificación!N46</f>
        <v>1.875</v>
      </c>
      <c r="D84" s="20" t="str">
        <f aca="false">IF(C84&gt;=Rúbrica!$D$6,"Logrado","No logrado")</f>
        <v>No logrado</v>
      </c>
      <c r="E84" s="4" t="s">
        <v>273</v>
      </c>
    </row>
    <row r="85" customFormat="false" ht="81.75" hidden="false" customHeight="true" outlineLevel="0" collapsed="false">
      <c r="A85" s="20" t="s">
        <v>133</v>
      </c>
      <c r="B85" s="4" t="s">
        <v>37</v>
      </c>
      <c r="C85" s="27" t="n">
        <f aca="false">Calificación!O39</f>
        <v>1.375</v>
      </c>
      <c r="D85" s="20" t="str">
        <f aca="false">IF(C85&gt;=Rúbrica!$D$6,"Logrado","No logrado")</f>
        <v>No logrado</v>
      </c>
      <c r="E85" s="4" t="s">
        <v>274</v>
      </c>
    </row>
    <row r="86" customFormat="false" ht="30" hidden="false" customHeight="true" outlineLevel="0" collapsed="false">
      <c r="A86" s="20" t="s">
        <v>133</v>
      </c>
      <c r="B86" s="4" t="s">
        <v>39</v>
      </c>
      <c r="C86" s="27" t="n">
        <f aca="false">Calificación!O40</f>
        <v>4.5</v>
      </c>
      <c r="D86" s="20" t="str">
        <f aca="false">IF(C86&gt;=Rúbrica!$D$6,"Logrado","No logrado")</f>
        <v>Logrado</v>
      </c>
      <c r="E86" s="4" t="s">
        <v>275</v>
      </c>
    </row>
    <row r="87" customFormat="false" ht="18" hidden="false" customHeight="true" outlineLevel="0" collapsed="false">
      <c r="A87" s="20" t="s">
        <v>133</v>
      </c>
      <c r="B87" s="4" t="s">
        <v>41</v>
      </c>
      <c r="C87" s="27" t="n">
        <f aca="false">Calificación!O41</f>
        <v>5</v>
      </c>
      <c r="D87" s="20" t="str">
        <f aca="false">IF(C87&gt;=Rúbrica!$D$6,"Logrado","No logrado")</f>
        <v>Logrado</v>
      </c>
      <c r="E87" s="4" t="s">
        <v>276</v>
      </c>
    </row>
    <row r="88" customFormat="false" ht="42.75" hidden="false" customHeight="true" outlineLevel="0" collapsed="false">
      <c r="A88" s="20" t="s">
        <v>133</v>
      </c>
      <c r="B88" s="4" t="s">
        <v>43</v>
      </c>
      <c r="C88" s="27" t="n">
        <f aca="false">Calificación!O42</f>
        <v>3.375</v>
      </c>
      <c r="D88" s="20" t="str">
        <f aca="false">IF(C88&gt;=Rúbrica!$D$6,"Logrado","No logrado")</f>
        <v>Logrado</v>
      </c>
      <c r="E88" s="4" t="s">
        <v>277</v>
      </c>
    </row>
    <row r="89" customFormat="false" ht="42.75" hidden="false" customHeight="true" outlineLevel="0" collapsed="false">
      <c r="A89" s="20" t="s">
        <v>133</v>
      </c>
      <c r="B89" s="4" t="s">
        <v>45</v>
      </c>
      <c r="C89" s="27" t="n">
        <f aca="false">Calificación!O43</f>
        <v>3.125</v>
      </c>
      <c r="D89" s="20" t="str">
        <f aca="false">IF(C89&gt;=Rúbrica!$D$6,"Logrado","No logrado")</f>
        <v>Logrado</v>
      </c>
      <c r="E89" s="4" t="s">
        <v>278</v>
      </c>
    </row>
    <row r="90" customFormat="false" ht="69" hidden="false" customHeight="true" outlineLevel="0" collapsed="false">
      <c r="A90" s="20" t="s">
        <v>133</v>
      </c>
      <c r="B90" s="4" t="s">
        <v>47</v>
      </c>
      <c r="C90" s="27" t="n">
        <f aca="false">Calificación!O44</f>
        <v>3.875</v>
      </c>
      <c r="D90" s="20" t="str">
        <f aca="false">IF(C90&gt;=Rúbrica!$D$6,"Logrado","No logrado")</f>
        <v>Logrado</v>
      </c>
      <c r="E90" s="4" t="s">
        <v>279</v>
      </c>
    </row>
    <row r="91" customFormat="false" ht="55.5" hidden="false" customHeight="true" outlineLevel="0" collapsed="false">
      <c r="A91" s="20" t="s">
        <v>133</v>
      </c>
      <c r="B91" s="4" t="s">
        <v>49</v>
      </c>
      <c r="C91" s="27" t="n">
        <f aca="false">Calificación!O45</f>
        <v>4.5</v>
      </c>
      <c r="D91" s="20" t="str">
        <f aca="false">IF(C91&gt;=Rúbrica!$D$6,"Logrado","No logrado")</f>
        <v>Logrado</v>
      </c>
      <c r="E91" s="4" t="s">
        <v>280</v>
      </c>
    </row>
    <row r="92" customFormat="false" ht="69" hidden="false" customHeight="true" outlineLevel="0" collapsed="false">
      <c r="A92" s="20" t="s">
        <v>133</v>
      </c>
      <c r="B92" s="4" t="s">
        <v>51</v>
      </c>
      <c r="C92" s="27" t="n">
        <f aca="false">Calificación!O46</f>
        <v>3.75</v>
      </c>
      <c r="D92" s="20" t="str">
        <f aca="false">IF(C92&gt;=Rúbrica!$D$6,"Logrado","No logrado")</f>
        <v>Logrado</v>
      </c>
      <c r="E92" s="4" t="s">
        <v>281</v>
      </c>
    </row>
  </sheetData>
  <autoFilter ref="A4:E92"/>
  <conditionalFormatting sqref="D5:D92">
    <cfRule type="cellIs" priority="2" operator="equal" aboveAverage="0" equalAverage="0" bottom="0" percent="0" rank="0" text="" dxfId="0">
      <formula>"No logrado"</formula>
    </cfRule>
    <cfRule type="cellIs" priority="3" operator="equal" aboveAverage="0" equalAverage="0" bottom="0" percent="0" rank="0" text="" dxfId="1">
      <formula>"Logrado"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
    <col collapsed="false" customWidth="true" hidden="false" outlineLevel="0" max="3" min="3" style="0" width="26"/>
    <col collapsed="false" customWidth="true" hidden="false" outlineLevel="0" max="5" min="4" style="0" width="20"/>
    <col collapsed="false" customWidth="true" hidden="false" outlineLevel="0" max="7" min="6" style="0" width="56"/>
    <col collapsed="false" customWidth="true" hidden="false" outlineLevel="0" max="8" min="8" style="0" width="11"/>
    <col collapsed="false" customWidth="true" hidden="false" outlineLevel="0" max="13" min="9" style="0" width="8"/>
    <col collapsed="false" customWidth="true" hidden="false" outlineLevel="0" max="14" min="14" style="0" width="9"/>
  </cols>
  <sheetData>
    <row r="1" customFormat="false" ht="17.35" hidden="false" customHeight="false" outlineLevel="0" collapsed="false">
      <c r="A1" s="1" t="s">
        <v>282</v>
      </c>
    </row>
    <row r="2" customFormat="false" ht="15" hidden="false" customHeight="false" outlineLevel="0" collapsed="false">
      <c r="A2" s="2" t="s">
        <v>283</v>
      </c>
    </row>
    <row r="3" customFormat="false" ht="15" hidden="false" customHeight="false" outlineLevel="0" collapsed="false">
      <c r="A3" s="5" t="s">
        <v>284</v>
      </c>
      <c r="B3" s="5"/>
      <c r="C3" s="5"/>
      <c r="D3" s="5"/>
      <c r="E3" s="5"/>
      <c r="F3" s="5"/>
      <c r="G3" s="5"/>
      <c r="H3" s="5"/>
      <c r="I3" s="5"/>
      <c r="J3" s="5"/>
      <c r="K3" s="5"/>
      <c r="L3" s="5"/>
      <c r="M3" s="5"/>
      <c r="N3" s="5"/>
    </row>
    <row r="4" customFormat="false" ht="21.75" hidden="false" customHeight="true" outlineLevel="0" collapsed="false">
      <c r="A4" s="12" t="s">
        <v>285</v>
      </c>
      <c r="B4" s="12" t="s">
        <v>78</v>
      </c>
      <c r="C4" s="12" t="s">
        <v>80</v>
      </c>
      <c r="D4" s="12" t="s">
        <v>82</v>
      </c>
      <c r="E4" s="12" t="s">
        <v>126</v>
      </c>
      <c r="F4" s="12" t="s">
        <v>127</v>
      </c>
      <c r="G4" s="12" t="s">
        <v>128</v>
      </c>
      <c r="H4" s="12" t="s">
        <v>129</v>
      </c>
      <c r="I4" s="12" t="s">
        <v>130</v>
      </c>
      <c r="J4" s="12" t="s">
        <v>131</v>
      </c>
      <c r="K4" s="12" t="s">
        <v>132</v>
      </c>
      <c r="L4" s="12" t="s">
        <v>133</v>
      </c>
      <c r="M4" s="12" t="s">
        <v>136</v>
      </c>
    </row>
    <row r="5" customFormat="false" ht="15" hidden="false" customHeight="false" outlineLevel="0" collapsed="false">
      <c r="A5" s="10" t="s">
        <v>286</v>
      </c>
      <c r="B5" s="26" t="n">
        <f aca="false">COUNTIFS($B$26:$B$129,B$4,$C$26:$C$129,$A5)</f>
        <v>1</v>
      </c>
      <c r="C5" s="26" t="n">
        <f aca="false">COUNTIFS($B$26:$B$129,C$4,$C$26:$C$129,$A5)</f>
        <v>2</v>
      </c>
      <c r="D5" s="26" t="n">
        <f aca="false">COUNTIFS($B$26:$B$129,D$4,$C$26:$C$129,$A5)</f>
        <v>2</v>
      </c>
      <c r="E5" s="26" t="n">
        <f aca="false">COUNTIFS($B$26:$B$129,E$4,$C$26:$C$129,$A5)</f>
        <v>4</v>
      </c>
      <c r="F5" s="26" t="n">
        <f aca="false">COUNTIFS($B$26:$B$129,F$4,$C$26:$C$129,$A5)</f>
        <v>2</v>
      </c>
      <c r="G5" s="26" t="n">
        <f aca="false">COUNTIFS($B$26:$B$129,G$4,$C$26:$C$129,$A5)</f>
        <v>1</v>
      </c>
      <c r="H5" s="26" t="n">
        <f aca="false">COUNTIFS($B$26:$B$129,H$4,$C$26:$C$129,$A5)</f>
        <v>3</v>
      </c>
      <c r="I5" s="26" t="n">
        <f aca="false">COUNTIFS($B$26:$B$129,I$4,$C$26:$C$129,$A5)</f>
        <v>2</v>
      </c>
      <c r="J5" s="26" t="n">
        <f aca="false">COUNTIFS($B$26:$B$129,J$4,$C$26:$C$129,$A5)</f>
        <v>4</v>
      </c>
      <c r="K5" s="26" t="n">
        <f aca="false">COUNTIFS($B$26:$B$129,K$4,$C$26:$C$129,$A5)</f>
        <v>3</v>
      </c>
      <c r="L5" s="26" t="n">
        <f aca="false">COUNTIFS($B$26:$B$129,L$4,$C$26:$C$129,$A5)</f>
        <v>0</v>
      </c>
      <c r="M5" s="20" t="n">
        <f aca="false">SUM(B5:L5)</f>
        <v>24</v>
      </c>
    </row>
    <row r="6" customFormat="false" ht="15" hidden="false" customHeight="false" outlineLevel="0" collapsed="false">
      <c r="A6" s="10" t="s">
        <v>287</v>
      </c>
      <c r="B6" s="26" t="n">
        <f aca="false">COUNTIFS($B$26:$B$129,B$4,$C$26:$C$129,$A6)</f>
        <v>1</v>
      </c>
      <c r="C6" s="26" t="n">
        <f aca="false">COUNTIFS($B$26:$B$129,C$4,$C$26:$C$129,$A6)</f>
        <v>2</v>
      </c>
      <c r="D6" s="26" t="n">
        <f aca="false">COUNTIFS($B$26:$B$129,D$4,$C$26:$C$129,$A6)</f>
        <v>2</v>
      </c>
      <c r="E6" s="26" t="n">
        <f aca="false">COUNTIFS($B$26:$B$129,E$4,$C$26:$C$129,$A6)</f>
        <v>2</v>
      </c>
      <c r="F6" s="26" t="n">
        <f aca="false">COUNTIFS($B$26:$B$129,F$4,$C$26:$C$129,$A6)</f>
        <v>2</v>
      </c>
      <c r="G6" s="26" t="n">
        <f aca="false">COUNTIFS($B$26:$B$129,G$4,$C$26:$C$129,$A6)</f>
        <v>2</v>
      </c>
      <c r="H6" s="26" t="n">
        <f aca="false">COUNTIFS($B$26:$B$129,H$4,$C$26:$C$129,$A6)</f>
        <v>0</v>
      </c>
      <c r="I6" s="26" t="n">
        <f aca="false">COUNTIFS($B$26:$B$129,I$4,$C$26:$C$129,$A6)</f>
        <v>3</v>
      </c>
      <c r="J6" s="26" t="n">
        <f aca="false">COUNTIFS($B$26:$B$129,J$4,$C$26:$C$129,$A6)</f>
        <v>3</v>
      </c>
      <c r="K6" s="26" t="n">
        <f aca="false">COUNTIFS($B$26:$B$129,K$4,$C$26:$C$129,$A6)</f>
        <v>2</v>
      </c>
      <c r="L6" s="26" t="n">
        <f aca="false">COUNTIFS($B$26:$B$129,L$4,$C$26:$C$129,$A6)</f>
        <v>2</v>
      </c>
      <c r="M6" s="20" t="n">
        <f aca="false">SUM(B6:L6)</f>
        <v>21</v>
      </c>
    </row>
    <row r="7" customFormat="false" ht="15" hidden="false" customHeight="false" outlineLevel="0" collapsed="false">
      <c r="A7" s="10" t="s">
        <v>288</v>
      </c>
      <c r="B7" s="26" t="n">
        <f aca="false">COUNTIFS($B$26:$B$129,B$4,$C$26:$C$129,$A7)</f>
        <v>2</v>
      </c>
      <c r="C7" s="26" t="n">
        <f aca="false">COUNTIFS($B$26:$B$129,C$4,$C$26:$C$129,$A7)</f>
        <v>1</v>
      </c>
      <c r="D7" s="26" t="n">
        <f aca="false">COUNTIFS($B$26:$B$129,D$4,$C$26:$C$129,$A7)</f>
        <v>3</v>
      </c>
      <c r="E7" s="26" t="n">
        <f aca="false">COUNTIFS($B$26:$B$129,E$4,$C$26:$C$129,$A7)</f>
        <v>0</v>
      </c>
      <c r="F7" s="26" t="n">
        <f aca="false">COUNTIFS($B$26:$B$129,F$4,$C$26:$C$129,$A7)</f>
        <v>1</v>
      </c>
      <c r="G7" s="26" t="n">
        <f aca="false">COUNTIFS($B$26:$B$129,G$4,$C$26:$C$129,$A7)</f>
        <v>0</v>
      </c>
      <c r="H7" s="26" t="n">
        <f aca="false">COUNTIFS($B$26:$B$129,H$4,$C$26:$C$129,$A7)</f>
        <v>2</v>
      </c>
      <c r="I7" s="26" t="n">
        <f aca="false">COUNTIFS($B$26:$B$129,I$4,$C$26:$C$129,$A7)</f>
        <v>0</v>
      </c>
      <c r="J7" s="26" t="n">
        <f aca="false">COUNTIFS($B$26:$B$129,J$4,$C$26:$C$129,$A7)</f>
        <v>0</v>
      </c>
      <c r="K7" s="26" t="n">
        <f aca="false">COUNTIFS($B$26:$B$129,K$4,$C$26:$C$129,$A7)</f>
        <v>1</v>
      </c>
      <c r="L7" s="26" t="n">
        <f aca="false">COUNTIFS($B$26:$B$129,L$4,$C$26:$C$129,$A7)</f>
        <v>1</v>
      </c>
      <c r="M7" s="20" t="n">
        <f aca="false">SUM(B7:L7)</f>
        <v>11</v>
      </c>
    </row>
    <row r="8" customFormat="false" ht="15" hidden="false" customHeight="false" outlineLevel="0" collapsed="false">
      <c r="A8" s="10" t="s">
        <v>289</v>
      </c>
      <c r="B8" s="26" t="n">
        <f aca="false">COUNTIFS($B$26:$B$129,B$4,$C$26:$C$129,$A8)</f>
        <v>1</v>
      </c>
      <c r="C8" s="26" t="n">
        <f aca="false">COUNTIFS($B$26:$B$129,C$4,$C$26:$C$129,$A8)</f>
        <v>1</v>
      </c>
      <c r="D8" s="26" t="n">
        <f aca="false">COUNTIFS($B$26:$B$129,D$4,$C$26:$C$129,$A8)</f>
        <v>0</v>
      </c>
      <c r="E8" s="26" t="n">
        <f aca="false">COUNTIFS($B$26:$B$129,E$4,$C$26:$C$129,$A8)</f>
        <v>1</v>
      </c>
      <c r="F8" s="26" t="n">
        <f aca="false">COUNTIFS($B$26:$B$129,F$4,$C$26:$C$129,$A8)</f>
        <v>1</v>
      </c>
      <c r="G8" s="26" t="n">
        <f aca="false">COUNTIFS($B$26:$B$129,G$4,$C$26:$C$129,$A8)</f>
        <v>1</v>
      </c>
      <c r="H8" s="26" t="n">
        <f aca="false">COUNTIFS($B$26:$B$129,H$4,$C$26:$C$129,$A8)</f>
        <v>1</v>
      </c>
      <c r="I8" s="26" t="n">
        <f aca="false">COUNTIFS($B$26:$B$129,I$4,$C$26:$C$129,$A8)</f>
        <v>1</v>
      </c>
      <c r="J8" s="26" t="n">
        <f aca="false">COUNTIFS($B$26:$B$129,J$4,$C$26:$C$129,$A8)</f>
        <v>1</v>
      </c>
      <c r="K8" s="26" t="n">
        <f aca="false">COUNTIFS($B$26:$B$129,K$4,$C$26:$C$129,$A8)</f>
        <v>1</v>
      </c>
      <c r="L8" s="26" t="n">
        <f aca="false">COUNTIFS($B$26:$B$129,L$4,$C$26:$C$129,$A8)</f>
        <v>1</v>
      </c>
      <c r="M8" s="20" t="n">
        <f aca="false">SUM(B8:L8)</f>
        <v>10</v>
      </c>
    </row>
    <row r="9" customFormat="false" ht="15" hidden="false" customHeight="false" outlineLevel="0" collapsed="false">
      <c r="A9" s="10" t="s">
        <v>290</v>
      </c>
      <c r="B9" s="26" t="n">
        <f aca="false">COUNTIFS($B$26:$B$129,B$4,$C$26:$C$129,$A9)</f>
        <v>1</v>
      </c>
      <c r="C9" s="26" t="n">
        <f aca="false">COUNTIFS($B$26:$B$129,C$4,$C$26:$C$129,$A9)</f>
        <v>1</v>
      </c>
      <c r="D9" s="26" t="n">
        <f aca="false">COUNTIFS($B$26:$B$129,D$4,$C$26:$C$129,$A9)</f>
        <v>1</v>
      </c>
      <c r="E9" s="26" t="n">
        <f aca="false">COUNTIFS($B$26:$B$129,E$4,$C$26:$C$129,$A9)</f>
        <v>1</v>
      </c>
      <c r="F9" s="26" t="n">
        <f aca="false">COUNTIFS($B$26:$B$129,F$4,$C$26:$C$129,$A9)</f>
        <v>1</v>
      </c>
      <c r="G9" s="26" t="n">
        <f aca="false">COUNTIFS($B$26:$B$129,G$4,$C$26:$C$129,$A9)</f>
        <v>2</v>
      </c>
      <c r="H9" s="26" t="n">
        <f aca="false">COUNTIFS($B$26:$B$129,H$4,$C$26:$C$129,$A9)</f>
        <v>1</v>
      </c>
      <c r="I9" s="26" t="n">
        <f aca="false">COUNTIFS($B$26:$B$129,I$4,$C$26:$C$129,$A9)</f>
        <v>0</v>
      </c>
      <c r="J9" s="26" t="n">
        <f aca="false">COUNTIFS($B$26:$B$129,J$4,$C$26:$C$129,$A9)</f>
        <v>1</v>
      </c>
      <c r="K9" s="26" t="n">
        <f aca="false">COUNTIFS($B$26:$B$129,K$4,$C$26:$C$129,$A9)</f>
        <v>0</v>
      </c>
      <c r="L9" s="26" t="n">
        <f aca="false">COUNTIFS($B$26:$B$129,L$4,$C$26:$C$129,$A9)</f>
        <v>1</v>
      </c>
      <c r="M9" s="20" t="n">
        <f aca="false">SUM(B9:L9)</f>
        <v>10</v>
      </c>
    </row>
    <row r="10" customFormat="false" ht="15" hidden="false" customHeight="false" outlineLevel="0" collapsed="false">
      <c r="A10" s="10" t="s">
        <v>291</v>
      </c>
      <c r="B10" s="26" t="n">
        <f aca="false">COUNTIFS($B$26:$B$129,B$4,$C$26:$C$129,$A10)</f>
        <v>0</v>
      </c>
      <c r="C10" s="26" t="n">
        <f aca="false">COUNTIFS($B$26:$B$129,C$4,$C$26:$C$129,$A10)</f>
        <v>0</v>
      </c>
      <c r="D10" s="26" t="n">
        <f aca="false">COUNTIFS($B$26:$B$129,D$4,$C$26:$C$129,$A10)</f>
        <v>0</v>
      </c>
      <c r="E10" s="26" t="n">
        <f aca="false">COUNTIFS($B$26:$B$129,E$4,$C$26:$C$129,$A10)</f>
        <v>2</v>
      </c>
      <c r="F10" s="26" t="n">
        <f aca="false">COUNTIFS($B$26:$B$129,F$4,$C$26:$C$129,$A10)</f>
        <v>1</v>
      </c>
      <c r="G10" s="26" t="n">
        <f aca="false">COUNTIFS($B$26:$B$129,G$4,$C$26:$C$129,$A10)</f>
        <v>0</v>
      </c>
      <c r="H10" s="26" t="n">
        <f aca="false">COUNTIFS($B$26:$B$129,H$4,$C$26:$C$129,$A10)</f>
        <v>1</v>
      </c>
      <c r="I10" s="26" t="n">
        <f aca="false">COUNTIFS($B$26:$B$129,I$4,$C$26:$C$129,$A10)</f>
        <v>2</v>
      </c>
      <c r="J10" s="26" t="n">
        <f aca="false">COUNTIFS($B$26:$B$129,J$4,$C$26:$C$129,$A10)</f>
        <v>2</v>
      </c>
      <c r="K10" s="26" t="n">
        <f aca="false">COUNTIFS($B$26:$B$129,K$4,$C$26:$C$129,$A10)</f>
        <v>1</v>
      </c>
      <c r="L10" s="26" t="n">
        <f aca="false">COUNTIFS($B$26:$B$129,L$4,$C$26:$C$129,$A10)</f>
        <v>2</v>
      </c>
      <c r="M10" s="20" t="n">
        <f aca="false">SUM(B10:L10)</f>
        <v>11</v>
      </c>
    </row>
    <row r="11" customFormat="false" ht="15" hidden="false" customHeight="false" outlineLevel="0" collapsed="false">
      <c r="A11" s="10" t="s">
        <v>292</v>
      </c>
      <c r="B11" s="26" t="n">
        <f aca="false">COUNTIFS($B$26:$B$129,B$4,$C$26:$C$129,$A11)</f>
        <v>1</v>
      </c>
      <c r="C11" s="26" t="n">
        <f aca="false">COUNTIFS($B$26:$B$129,C$4,$C$26:$C$129,$A11)</f>
        <v>1</v>
      </c>
      <c r="D11" s="26" t="n">
        <f aca="false">COUNTIFS($B$26:$B$129,D$4,$C$26:$C$129,$A11)</f>
        <v>1</v>
      </c>
      <c r="E11" s="26" t="n">
        <f aca="false">COUNTIFS($B$26:$B$129,E$4,$C$26:$C$129,$A11)</f>
        <v>0</v>
      </c>
      <c r="F11" s="26" t="n">
        <f aca="false">COUNTIFS($B$26:$B$129,F$4,$C$26:$C$129,$A11)</f>
        <v>1</v>
      </c>
      <c r="G11" s="26" t="n">
        <f aca="false">COUNTIFS($B$26:$B$129,G$4,$C$26:$C$129,$A11)</f>
        <v>1</v>
      </c>
      <c r="H11" s="26" t="n">
        <f aca="false">COUNTIFS($B$26:$B$129,H$4,$C$26:$C$129,$A11)</f>
        <v>0</v>
      </c>
      <c r="I11" s="26" t="n">
        <f aca="false">COUNTIFS($B$26:$B$129,I$4,$C$26:$C$129,$A11)</f>
        <v>0</v>
      </c>
      <c r="J11" s="26" t="n">
        <f aca="false">COUNTIFS($B$26:$B$129,J$4,$C$26:$C$129,$A11)</f>
        <v>0</v>
      </c>
      <c r="K11" s="26" t="n">
        <f aca="false">COUNTIFS($B$26:$B$129,K$4,$C$26:$C$129,$A11)</f>
        <v>0</v>
      </c>
      <c r="L11" s="26" t="n">
        <f aca="false">COUNTIFS($B$26:$B$129,L$4,$C$26:$C$129,$A11)</f>
        <v>0</v>
      </c>
      <c r="M11" s="20" t="n">
        <f aca="false">SUM(B11:L11)</f>
        <v>5</v>
      </c>
    </row>
    <row r="12" customFormat="false" ht="15" hidden="false" customHeight="false" outlineLevel="0" collapsed="false">
      <c r="A12" s="10" t="s">
        <v>293</v>
      </c>
      <c r="B12" s="26" t="n">
        <f aca="false">COUNTIFS($B$26:$B$129,B$4,$C$26:$C$129,$A12)</f>
        <v>1</v>
      </c>
      <c r="C12" s="26" t="n">
        <f aca="false">COUNTIFS($B$26:$B$129,C$4,$C$26:$C$129,$A12)</f>
        <v>2</v>
      </c>
      <c r="D12" s="26" t="n">
        <f aca="false">COUNTIFS($B$26:$B$129,D$4,$C$26:$C$129,$A12)</f>
        <v>0</v>
      </c>
      <c r="E12" s="26" t="n">
        <f aca="false">COUNTIFS($B$26:$B$129,E$4,$C$26:$C$129,$A12)</f>
        <v>1</v>
      </c>
      <c r="F12" s="26" t="n">
        <f aca="false">COUNTIFS($B$26:$B$129,F$4,$C$26:$C$129,$A12)</f>
        <v>1</v>
      </c>
      <c r="G12" s="26" t="n">
        <f aca="false">COUNTIFS($B$26:$B$129,G$4,$C$26:$C$129,$A12)</f>
        <v>0</v>
      </c>
      <c r="H12" s="26" t="n">
        <f aca="false">COUNTIFS($B$26:$B$129,H$4,$C$26:$C$129,$A12)</f>
        <v>1</v>
      </c>
      <c r="I12" s="26" t="n">
        <f aca="false">COUNTIFS($B$26:$B$129,I$4,$C$26:$C$129,$A12)</f>
        <v>1</v>
      </c>
      <c r="J12" s="26" t="n">
        <f aca="false">COUNTIFS($B$26:$B$129,J$4,$C$26:$C$129,$A12)</f>
        <v>1</v>
      </c>
      <c r="K12" s="26" t="n">
        <f aca="false">COUNTIFS($B$26:$B$129,K$4,$C$26:$C$129,$A12)</f>
        <v>0</v>
      </c>
      <c r="L12" s="26" t="n">
        <f aca="false">COUNTIFS($B$26:$B$129,L$4,$C$26:$C$129,$A12)</f>
        <v>1</v>
      </c>
      <c r="M12" s="20" t="n">
        <f aca="false">SUM(B12:L12)</f>
        <v>9</v>
      </c>
    </row>
    <row r="13" customFormat="false" ht="15" hidden="false" customHeight="false" outlineLevel="0" collapsed="false">
      <c r="A13" s="10" t="s">
        <v>294</v>
      </c>
      <c r="B13" s="26" t="n">
        <f aca="false">COUNTIFS($B$26:$B$129,B$4,$C$26:$C$129,$A13)</f>
        <v>0</v>
      </c>
      <c r="C13" s="26" t="n">
        <f aca="false">COUNTIFS($B$26:$B$129,C$4,$C$26:$C$129,$A13)</f>
        <v>0</v>
      </c>
      <c r="D13" s="26" t="n">
        <f aca="false">COUNTIFS($B$26:$B$129,D$4,$C$26:$C$129,$A13)</f>
        <v>0</v>
      </c>
      <c r="E13" s="26" t="n">
        <f aca="false">COUNTIFS($B$26:$B$129,E$4,$C$26:$C$129,$A13)</f>
        <v>0</v>
      </c>
      <c r="F13" s="26" t="n">
        <f aca="false">COUNTIFS($B$26:$B$129,F$4,$C$26:$C$129,$A13)</f>
        <v>1</v>
      </c>
      <c r="G13" s="26" t="n">
        <f aca="false">COUNTIFS($B$26:$B$129,G$4,$C$26:$C$129,$A13)</f>
        <v>1</v>
      </c>
      <c r="H13" s="26" t="n">
        <f aca="false">COUNTIFS($B$26:$B$129,H$4,$C$26:$C$129,$A13)</f>
        <v>0</v>
      </c>
      <c r="I13" s="26" t="n">
        <f aca="false">COUNTIFS($B$26:$B$129,I$4,$C$26:$C$129,$A13)</f>
        <v>0</v>
      </c>
      <c r="J13" s="26" t="n">
        <f aca="false">COUNTIFS($B$26:$B$129,J$4,$C$26:$C$129,$A13)</f>
        <v>0</v>
      </c>
      <c r="K13" s="26" t="n">
        <f aca="false">COUNTIFS($B$26:$B$129,K$4,$C$26:$C$129,$A13)</f>
        <v>1</v>
      </c>
      <c r="L13" s="26" t="n">
        <f aca="false">COUNTIFS($B$26:$B$129,L$4,$C$26:$C$129,$A13)</f>
        <v>0</v>
      </c>
      <c r="M13" s="20" t="n">
        <f aca="false">SUM(B13:L13)</f>
        <v>3</v>
      </c>
    </row>
    <row r="14" customFormat="false" ht="15" hidden="false" customHeight="false" outlineLevel="0" collapsed="false">
      <c r="A14" s="14" t="s">
        <v>295</v>
      </c>
      <c r="B14" s="32" t="n">
        <f aca="false">SUM(B5:B13)</f>
        <v>8</v>
      </c>
      <c r="C14" s="32" t="n">
        <f aca="false">SUM(C5:C13)</f>
        <v>10</v>
      </c>
      <c r="D14" s="32" t="n">
        <f aca="false">SUM(D5:D13)</f>
        <v>9</v>
      </c>
      <c r="E14" s="32" t="n">
        <f aca="false">SUM(E5:E13)</f>
        <v>11</v>
      </c>
      <c r="F14" s="32" t="n">
        <f aca="false">SUM(F5:F13)</f>
        <v>11</v>
      </c>
      <c r="G14" s="32" t="n">
        <f aca="false">SUM(G5:G13)</f>
        <v>8</v>
      </c>
      <c r="H14" s="32" t="n">
        <f aca="false">SUM(H5:H13)</f>
        <v>9</v>
      </c>
      <c r="I14" s="32" t="n">
        <f aca="false">SUM(I5:I13)</f>
        <v>9</v>
      </c>
      <c r="J14" s="32" t="n">
        <f aca="false">SUM(J5:J13)</f>
        <v>12</v>
      </c>
      <c r="K14" s="32" t="n">
        <f aca="false">SUM(K5:K13)</f>
        <v>9</v>
      </c>
      <c r="L14" s="32" t="n">
        <f aca="false">SUM(L5:L13)</f>
        <v>8</v>
      </c>
      <c r="M14" s="32" t="n">
        <f aca="false">SUM(M5:M13)</f>
        <v>104</v>
      </c>
    </row>
    <row r="16" customFormat="false" ht="15" hidden="false" customHeight="false" outlineLevel="0" collapsed="false">
      <c r="A16" s="5" t="s">
        <v>296</v>
      </c>
      <c r="B16" s="5"/>
      <c r="C16" s="5"/>
      <c r="D16" s="5"/>
      <c r="E16" s="5"/>
      <c r="F16" s="5"/>
      <c r="G16" s="5"/>
      <c r="H16" s="5"/>
      <c r="I16" s="5"/>
      <c r="J16" s="5"/>
      <c r="K16" s="5"/>
      <c r="L16" s="5"/>
      <c r="M16" s="5"/>
      <c r="N16" s="5"/>
    </row>
    <row r="17" customFormat="false" ht="21.75" hidden="false" customHeight="true" outlineLevel="0" collapsed="false">
      <c r="A17" s="12" t="s">
        <v>297</v>
      </c>
      <c r="B17" s="12" t="s">
        <v>78</v>
      </c>
      <c r="C17" s="12" t="s">
        <v>80</v>
      </c>
      <c r="D17" s="12" t="s">
        <v>82</v>
      </c>
      <c r="E17" s="12" t="s">
        <v>126</v>
      </c>
      <c r="F17" s="12" t="s">
        <v>127</v>
      </c>
      <c r="G17" s="12" t="s">
        <v>128</v>
      </c>
      <c r="H17" s="12" t="s">
        <v>129</v>
      </c>
      <c r="I17" s="12" t="s">
        <v>130</v>
      </c>
      <c r="J17" s="12" t="s">
        <v>131</v>
      </c>
      <c r="K17" s="12" t="s">
        <v>132</v>
      </c>
      <c r="L17" s="12" t="s">
        <v>133</v>
      </c>
      <c r="M17" s="12" t="s">
        <v>136</v>
      </c>
    </row>
    <row r="18" customFormat="false" ht="15" hidden="false" customHeight="false" outlineLevel="0" collapsed="false">
      <c r="A18" s="6" t="s">
        <v>298</v>
      </c>
      <c r="B18" s="26" t="n">
        <f aca="false">COUNTIFS($B$26:$B$129,B$17,$H$26:$H$129,$A18)</f>
        <v>2</v>
      </c>
      <c r="C18" s="26" t="n">
        <f aca="false">COUNTIFS($B$26:$B$129,C$17,$H$26:$H$129,$A18)</f>
        <v>1</v>
      </c>
      <c r="D18" s="26" t="n">
        <f aca="false">COUNTIFS($B$26:$B$129,D$17,$H$26:$H$129,$A18)</f>
        <v>4</v>
      </c>
      <c r="E18" s="26" t="n">
        <f aca="false">COUNTIFS($B$26:$B$129,E$17,$H$26:$H$129,$A18)</f>
        <v>3</v>
      </c>
      <c r="F18" s="26" t="n">
        <f aca="false">COUNTIFS($B$26:$B$129,F$17,$H$26:$H$129,$A18)</f>
        <v>6</v>
      </c>
      <c r="G18" s="26" t="n">
        <f aca="false">COUNTIFS($B$26:$B$129,G$17,$H$26:$H$129,$A18)</f>
        <v>0</v>
      </c>
      <c r="H18" s="26" t="n">
        <f aca="false">COUNTIFS($B$26:$B$129,H$17,$H$26:$H$129,$A18)</f>
        <v>2</v>
      </c>
      <c r="I18" s="26" t="n">
        <f aca="false">COUNTIFS($B$26:$B$129,I$17,$H$26:$H$129,$A18)</f>
        <v>3</v>
      </c>
      <c r="J18" s="26" t="n">
        <f aca="false">COUNTIFS($B$26:$B$129,J$17,$H$26:$H$129,$A18)</f>
        <v>8</v>
      </c>
      <c r="K18" s="26" t="n">
        <f aca="false">COUNTIFS($B$26:$B$129,K$17,$H$26:$H$129,$A18)</f>
        <v>5</v>
      </c>
      <c r="L18" s="26" t="n">
        <f aca="false">COUNTIFS($B$26:$B$129,L$17,$H$26:$H$129,$A18)</f>
        <v>2</v>
      </c>
      <c r="M18" s="20" t="n">
        <f aca="false">SUM(B18:L18)</f>
        <v>36</v>
      </c>
    </row>
    <row r="19" customFormat="false" ht="15" hidden="false" customHeight="false" outlineLevel="0" collapsed="false">
      <c r="A19" s="6" t="s">
        <v>163</v>
      </c>
      <c r="B19" s="26" t="n">
        <f aca="false">COUNTIFS($B$26:$B$129,B$17,$H$26:$H$129,$A19)</f>
        <v>5</v>
      </c>
      <c r="C19" s="26" t="n">
        <f aca="false">COUNTIFS($B$26:$B$129,C$17,$H$26:$H$129,$A19)</f>
        <v>8</v>
      </c>
      <c r="D19" s="26" t="n">
        <f aca="false">COUNTIFS($B$26:$B$129,D$17,$H$26:$H$129,$A19)</f>
        <v>5</v>
      </c>
      <c r="E19" s="26" t="n">
        <f aca="false">COUNTIFS($B$26:$B$129,E$17,$H$26:$H$129,$A19)</f>
        <v>6</v>
      </c>
      <c r="F19" s="26" t="n">
        <f aca="false">COUNTIFS($B$26:$B$129,F$17,$H$26:$H$129,$A19)</f>
        <v>5</v>
      </c>
      <c r="G19" s="26" t="n">
        <f aca="false">COUNTIFS($B$26:$B$129,G$17,$H$26:$H$129,$A19)</f>
        <v>3</v>
      </c>
      <c r="H19" s="26" t="n">
        <f aca="false">COUNTIFS($B$26:$B$129,H$17,$H$26:$H$129,$A19)</f>
        <v>5</v>
      </c>
      <c r="I19" s="26" t="n">
        <f aca="false">COUNTIFS($B$26:$B$129,I$17,$H$26:$H$129,$A19)</f>
        <v>2</v>
      </c>
      <c r="J19" s="26" t="n">
        <f aca="false">COUNTIFS($B$26:$B$129,J$17,$H$26:$H$129,$A19)</f>
        <v>3</v>
      </c>
      <c r="K19" s="26" t="n">
        <f aca="false">COUNTIFS($B$26:$B$129,K$17,$H$26:$H$129,$A19)</f>
        <v>3</v>
      </c>
      <c r="L19" s="26" t="n">
        <f aca="false">COUNTIFS($B$26:$B$129,L$17,$H$26:$H$129,$A19)</f>
        <v>5</v>
      </c>
      <c r="M19" s="20" t="n">
        <f aca="false">SUM(B19:L19)</f>
        <v>50</v>
      </c>
    </row>
    <row r="20" customFormat="false" ht="15" hidden="false" customHeight="false" outlineLevel="0" collapsed="false">
      <c r="A20" s="6" t="s">
        <v>299</v>
      </c>
      <c r="B20" s="26" t="n">
        <f aca="false">COUNTIFS($B$26:$B$129,B$17,$H$26:$H$129,$A20)</f>
        <v>1</v>
      </c>
      <c r="C20" s="26" t="n">
        <f aca="false">COUNTIFS($B$26:$B$129,C$17,$H$26:$H$129,$A20)</f>
        <v>1</v>
      </c>
      <c r="D20" s="26" t="n">
        <f aca="false">COUNTIFS($B$26:$B$129,D$17,$H$26:$H$129,$A20)</f>
        <v>0</v>
      </c>
      <c r="E20" s="26" t="n">
        <f aca="false">COUNTIFS($B$26:$B$129,E$17,$H$26:$H$129,$A20)</f>
        <v>2</v>
      </c>
      <c r="F20" s="26" t="n">
        <f aca="false">COUNTIFS($B$26:$B$129,F$17,$H$26:$H$129,$A20)</f>
        <v>0</v>
      </c>
      <c r="G20" s="26" t="n">
        <f aca="false">COUNTIFS($B$26:$B$129,G$17,$H$26:$H$129,$A20)</f>
        <v>5</v>
      </c>
      <c r="H20" s="26" t="n">
        <f aca="false">COUNTIFS($B$26:$B$129,H$17,$H$26:$H$129,$A20)</f>
        <v>2</v>
      </c>
      <c r="I20" s="26" t="n">
        <f aca="false">COUNTIFS($B$26:$B$129,I$17,$H$26:$H$129,$A20)</f>
        <v>4</v>
      </c>
      <c r="J20" s="26" t="n">
        <f aca="false">COUNTIFS($B$26:$B$129,J$17,$H$26:$H$129,$A20)</f>
        <v>1</v>
      </c>
      <c r="K20" s="26" t="n">
        <f aca="false">COUNTIFS($B$26:$B$129,K$17,$H$26:$H$129,$A20)</f>
        <v>1</v>
      </c>
      <c r="L20" s="26" t="n">
        <f aca="false">COUNTIFS($B$26:$B$129,L$17,$H$26:$H$129,$A20)</f>
        <v>1</v>
      </c>
      <c r="M20" s="20" t="n">
        <f aca="false">SUM(B20:L20)</f>
        <v>18</v>
      </c>
    </row>
    <row r="21" customFormat="false" ht="15" hidden="false" customHeight="false" outlineLevel="0" collapsed="false">
      <c r="A21" s="34" t="s">
        <v>300</v>
      </c>
      <c r="M21" s="20" t="str">
        <f aca="false">IF(SUM(M18:M20)=M14,"OK","REVISAR")</f>
        <v>OK</v>
      </c>
    </row>
    <row r="24" customFormat="false" ht="15" hidden="false" customHeight="false" outlineLevel="0" collapsed="false">
      <c r="A24" s="5" t="s">
        <v>301</v>
      </c>
      <c r="B24" s="5"/>
      <c r="C24" s="5"/>
      <c r="D24" s="5"/>
      <c r="E24" s="5"/>
      <c r="F24" s="5"/>
      <c r="G24" s="5"/>
      <c r="H24" s="5"/>
      <c r="I24" s="5"/>
      <c r="J24" s="5"/>
      <c r="K24" s="5"/>
      <c r="L24" s="5"/>
      <c r="M24" s="5"/>
      <c r="N24" s="5"/>
    </row>
    <row r="25" customFormat="false" ht="27.75" hidden="false" customHeight="true" outlineLevel="0" collapsed="false">
      <c r="A25" s="12" t="s">
        <v>302</v>
      </c>
      <c r="B25" s="12" t="s">
        <v>145</v>
      </c>
      <c r="C25" s="12" t="s">
        <v>303</v>
      </c>
      <c r="D25" s="12" t="s">
        <v>304</v>
      </c>
      <c r="E25" s="12" t="s">
        <v>305</v>
      </c>
      <c r="F25" s="12" t="s">
        <v>306</v>
      </c>
      <c r="G25" s="12" t="s">
        <v>307</v>
      </c>
      <c r="H25" s="12" t="s">
        <v>297</v>
      </c>
    </row>
    <row r="26" customFormat="false" ht="55.5" hidden="false" customHeight="true" outlineLevel="0" collapsed="false">
      <c r="A26" s="26" t="n">
        <v>1</v>
      </c>
      <c r="B26" s="20" t="s">
        <v>78</v>
      </c>
      <c r="C26" s="4" t="s">
        <v>288</v>
      </c>
      <c r="D26" s="4" t="s">
        <v>288</v>
      </c>
      <c r="E26" s="4" t="s">
        <v>308</v>
      </c>
      <c r="F26" s="4" t="s">
        <v>309</v>
      </c>
      <c r="G26" s="4" t="s">
        <v>310</v>
      </c>
      <c r="H26" s="20" t="s">
        <v>298</v>
      </c>
    </row>
    <row r="27" customFormat="false" ht="30" hidden="false" customHeight="true" outlineLevel="0" collapsed="false">
      <c r="A27" s="26" t="n">
        <v>2</v>
      </c>
      <c r="B27" s="20" t="s">
        <v>78</v>
      </c>
      <c r="C27" s="4" t="s">
        <v>288</v>
      </c>
      <c r="D27" s="4" t="s">
        <v>288</v>
      </c>
      <c r="E27" s="4" t="s">
        <v>311</v>
      </c>
      <c r="F27" s="4" t="s">
        <v>312</v>
      </c>
      <c r="G27" s="4" t="s">
        <v>313</v>
      </c>
      <c r="H27" s="20" t="s">
        <v>298</v>
      </c>
    </row>
    <row r="28" customFormat="false" ht="42.75" hidden="false" customHeight="true" outlineLevel="0" collapsed="false">
      <c r="A28" s="26" t="n">
        <v>3</v>
      </c>
      <c r="B28" s="20" t="s">
        <v>78</v>
      </c>
      <c r="C28" s="4" t="s">
        <v>287</v>
      </c>
      <c r="D28" s="4" t="s">
        <v>314</v>
      </c>
      <c r="E28" s="4" t="s">
        <v>315</v>
      </c>
      <c r="F28" s="4" t="s">
        <v>316</v>
      </c>
      <c r="G28" s="4" t="s">
        <v>317</v>
      </c>
      <c r="H28" s="20" t="s">
        <v>163</v>
      </c>
    </row>
    <row r="29" customFormat="false" ht="30" hidden="false" customHeight="true" outlineLevel="0" collapsed="false">
      <c r="A29" s="26" t="n">
        <v>4</v>
      </c>
      <c r="B29" s="20" t="s">
        <v>78</v>
      </c>
      <c r="C29" s="4" t="s">
        <v>292</v>
      </c>
      <c r="D29" s="4" t="s">
        <v>318</v>
      </c>
      <c r="E29" s="4" t="s">
        <v>319</v>
      </c>
      <c r="F29" s="4" t="s">
        <v>320</v>
      </c>
      <c r="G29" s="4" t="s">
        <v>321</v>
      </c>
      <c r="H29" s="20" t="s">
        <v>163</v>
      </c>
    </row>
    <row r="30" customFormat="false" ht="30" hidden="false" customHeight="true" outlineLevel="0" collapsed="false">
      <c r="A30" s="26" t="n">
        <v>5</v>
      </c>
      <c r="B30" s="20" t="s">
        <v>78</v>
      </c>
      <c r="C30" s="4" t="s">
        <v>286</v>
      </c>
      <c r="D30" s="4" t="s">
        <v>322</v>
      </c>
      <c r="E30" s="4" t="s">
        <v>308</v>
      </c>
      <c r="F30" s="4" t="s">
        <v>323</v>
      </c>
      <c r="G30" s="4" t="s">
        <v>324</v>
      </c>
      <c r="H30" s="20" t="s">
        <v>299</v>
      </c>
    </row>
    <row r="31" customFormat="false" ht="30" hidden="false" customHeight="true" outlineLevel="0" collapsed="false">
      <c r="A31" s="26" t="n">
        <v>6</v>
      </c>
      <c r="B31" s="20" t="s">
        <v>78</v>
      </c>
      <c r="C31" s="4" t="s">
        <v>293</v>
      </c>
      <c r="D31" s="4" t="s">
        <v>325</v>
      </c>
      <c r="E31" s="4" t="s">
        <v>326</v>
      </c>
      <c r="F31" s="4" t="s">
        <v>327</v>
      </c>
      <c r="G31" s="4" t="s">
        <v>328</v>
      </c>
      <c r="H31" s="20" t="s">
        <v>163</v>
      </c>
    </row>
    <row r="32" customFormat="false" ht="42.75" hidden="false" customHeight="true" outlineLevel="0" collapsed="false">
      <c r="A32" s="26" t="n">
        <v>7</v>
      </c>
      <c r="B32" s="20" t="s">
        <v>78</v>
      </c>
      <c r="C32" s="4" t="s">
        <v>290</v>
      </c>
      <c r="D32" s="4" t="s">
        <v>329</v>
      </c>
      <c r="E32" s="4" t="s">
        <v>330</v>
      </c>
      <c r="F32" s="4" t="s">
        <v>331</v>
      </c>
      <c r="G32" s="4" t="s">
        <v>332</v>
      </c>
      <c r="H32" s="20" t="s">
        <v>163</v>
      </c>
    </row>
    <row r="33" customFormat="false" ht="30" hidden="false" customHeight="true" outlineLevel="0" collapsed="false">
      <c r="A33" s="26" t="n">
        <v>8</v>
      </c>
      <c r="B33" s="20" t="s">
        <v>78</v>
      </c>
      <c r="C33" s="4" t="s">
        <v>289</v>
      </c>
      <c r="D33" s="4" t="s">
        <v>333</v>
      </c>
      <c r="E33" s="4" t="s">
        <v>334</v>
      </c>
      <c r="F33" s="4" t="s">
        <v>335</v>
      </c>
      <c r="G33" s="4" t="s">
        <v>336</v>
      </c>
      <c r="H33" s="20" t="s">
        <v>163</v>
      </c>
    </row>
    <row r="34" customFormat="false" ht="30" hidden="false" customHeight="true" outlineLevel="0" collapsed="false">
      <c r="A34" s="26" t="n">
        <v>9</v>
      </c>
      <c r="B34" s="20" t="s">
        <v>80</v>
      </c>
      <c r="C34" s="4" t="s">
        <v>287</v>
      </c>
      <c r="D34" s="4" t="s">
        <v>314</v>
      </c>
      <c r="E34" s="4" t="s">
        <v>337</v>
      </c>
      <c r="F34" s="4" t="s">
        <v>338</v>
      </c>
      <c r="G34" s="4" t="s">
        <v>339</v>
      </c>
      <c r="H34" s="20" t="s">
        <v>163</v>
      </c>
    </row>
    <row r="35" customFormat="false" ht="30" hidden="false" customHeight="true" outlineLevel="0" collapsed="false">
      <c r="A35" s="26" t="n">
        <v>10</v>
      </c>
      <c r="B35" s="20" t="s">
        <v>80</v>
      </c>
      <c r="C35" s="4" t="s">
        <v>288</v>
      </c>
      <c r="D35" s="4" t="s">
        <v>288</v>
      </c>
      <c r="E35" s="4" t="s">
        <v>340</v>
      </c>
      <c r="F35" s="4" t="s">
        <v>341</v>
      </c>
      <c r="G35" s="4" t="s">
        <v>342</v>
      </c>
      <c r="H35" s="20" t="s">
        <v>163</v>
      </c>
    </row>
    <row r="36" customFormat="false" ht="30" hidden="false" customHeight="true" outlineLevel="0" collapsed="false">
      <c r="A36" s="26" t="n">
        <v>11</v>
      </c>
      <c r="B36" s="20" t="s">
        <v>80</v>
      </c>
      <c r="C36" s="4" t="s">
        <v>287</v>
      </c>
      <c r="D36" s="4" t="s">
        <v>343</v>
      </c>
      <c r="E36" s="4" t="s">
        <v>344</v>
      </c>
      <c r="F36" s="4" t="s">
        <v>345</v>
      </c>
      <c r="G36" s="4" t="s">
        <v>346</v>
      </c>
      <c r="H36" s="20" t="s">
        <v>163</v>
      </c>
    </row>
    <row r="37" customFormat="false" ht="30" hidden="false" customHeight="true" outlineLevel="0" collapsed="false">
      <c r="A37" s="26" t="n">
        <v>12</v>
      </c>
      <c r="B37" s="20" t="s">
        <v>80</v>
      </c>
      <c r="C37" s="4" t="s">
        <v>286</v>
      </c>
      <c r="D37" s="4" t="s">
        <v>322</v>
      </c>
      <c r="E37" s="4" t="s">
        <v>308</v>
      </c>
      <c r="F37" s="4" t="s">
        <v>347</v>
      </c>
      <c r="G37" s="4" t="s">
        <v>348</v>
      </c>
      <c r="H37" s="20" t="s">
        <v>163</v>
      </c>
    </row>
    <row r="38" customFormat="false" ht="30" hidden="false" customHeight="true" outlineLevel="0" collapsed="false">
      <c r="A38" s="26" t="n">
        <v>13</v>
      </c>
      <c r="B38" s="20" t="s">
        <v>80</v>
      </c>
      <c r="C38" s="4" t="s">
        <v>286</v>
      </c>
      <c r="D38" s="4" t="s">
        <v>322</v>
      </c>
      <c r="E38" s="4" t="s">
        <v>308</v>
      </c>
      <c r="F38" s="4" t="s">
        <v>349</v>
      </c>
      <c r="G38" s="4" t="s">
        <v>350</v>
      </c>
      <c r="H38" s="20" t="s">
        <v>299</v>
      </c>
    </row>
    <row r="39" customFormat="false" ht="30" hidden="false" customHeight="true" outlineLevel="0" collapsed="false">
      <c r="A39" s="26" t="n">
        <v>14</v>
      </c>
      <c r="B39" s="20" t="s">
        <v>80</v>
      </c>
      <c r="C39" s="4" t="s">
        <v>292</v>
      </c>
      <c r="D39" s="4" t="s">
        <v>318</v>
      </c>
      <c r="E39" s="4" t="s">
        <v>319</v>
      </c>
      <c r="F39" s="4" t="s">
        <v>351</v>
      </c>
      <c r="G39" s="4" t="s">
        <v>352</v>
      </c>
      <c r="H39" s="20" t="s">
        <v>163</v>
      </c>
    </row>
    <row r="40" customFormat="false" ht="30" hidden="false" customHeight="true" outlineLevel="0" collapsed="false">
      <c r="A40" s="26" t="n">
        <v>15</v>
      </c>
      <c r="B40" s="20" t="s">
        <v>80</v>
      </c>
      <c r="C40" s="4" t="s">
        <v>293</v>
      </c>
      <c r="D40" s="4" t="s">
        <v>353</v>
      </c>
      <c r="E40" s="4" t="s">
        <v>319</v>
      </c>
      <c r="F40" s="4" t="s">
        <v>354</v>
      </c>
      <c r="G40" s="4" t="s">
        <v>355</v>
      </c>
      <c r="H40" s="20" t="s">
        <v>163</v>
      </c>
    </row>
    <row r="41" customFormat="false" ht="42.75" hidden="false" customHeight="true" outlineLevel="0" collapsed="false">
      <c r="A41" s="26" t="n">
        <v>16</v>
      </c>
      <c r="B41" s="20" t="s">
        <v>80</v>
      </c>
      <c r="C41" s="4" t="s">
        <v>293</v>
      </c>
      <c r="D41" s="4" t="s">
        <v>325</v>
      </c>
      <c r="E41" s="4" t="s">
        <v>356</v>
      </c>
      <c r="F41" s="4" t="s">
        <v>357</v>
      </c>
      <c r="G41" s="4" t="s">
        <v>358</v>
      </c>
      <c r="H41" s="20" t="s">
        <v>298</v>
      </c>
    </row>
    <row r="42" customFormat="false" ht="42.75" hidden="false" customHeight="true" outlineLevel="0" collapsed="false">
      <c r="A42" s="26" t="n">
        <v>17</v>
      </c>
      <c r="B42" s="20" t="s">
        <v>80</v>
      </c>
      <c r="C42" s="4" t="s">
        <v>290</v>
      </c>
      <c r="D42" s="4" t="s">
        <v>329</v>
      </c>
      <c r="E42" s="4" t="s">
        <v>359</v>
      </c>
      <c r="F42" s="4" t="s">
        <v>360</v>
      </c>
      <c r="G42" s="4" t="s">
        <v>361</v>
      </c>
      <c r="H42" s="20" t="s">
        <v>163</v>
      </c>
    </row>
    <row r="43" customFormat="false" ht="30" hidden="false" customHeight="true" outlineLevel="0" collapsed="false">
      <c r="A43" s="26" t="n">
        <v>18</v>
      </c>
      <c r="B43" s="20" t="s">
        <v>80</v>
      </c>
      <c r="C43" s="4" t="s">
        <v>289</v>
      </c>
      <c r="D43" s="4" t="s">
        <v>333</v>
      </c>
      <c r="E43" s="4" t="s">
        <v>362</v>
      </c>
      <c r="F43" s="4" t="s">
        <v>363</v>
      </c>
      <c r="G43" s="4" t="s">
        <v>364</v>
      </c>
      <c r="H43" s="20" t="s">
        <v>163</v>
      </c>
    </row>
    <row r="44" customFormat="false" ht="42.75" hidden="false" customHeight="true" outlineLevel="0" collapsed="false">
      <c r="A44" s="26" t="n">
        <v>19</v>
      </c>
      <c r="B44" s="20" t="s">
        <v>82</v>
      </c>
      <c r="C44" s="4" t="s">
        <v>287</v>
      </c>
      <c r="D44" s="4" t="s">
        <v>314</v>
      </c>
      <c r="E44" s="4" t="s">
        <v>365</v>
      </c>
      <c r="F44" s="4" t="s">
        <v>366</v>
      </c>
      <c r="G44" s="4" t="s">
        <v>367</v>
      </c>
      <c r="H44" s="20" t="s">
        <v>298</v>
      </c>
    </row>
    <row r="45" customFormat="false" ht="30" hidden="false" customHeight="true" outlineLevel="0" collapsed="false">
      <c r="A45" s="26" t="n">
        <v>20</v>
      </c>
      <c r="B45" s="20" t="s">
        <v>82</v>
      </c>
      <c r="C45" s="4" t="s">
        <v>288</v>
      </c>
      <c r="D45" s="4" t="s">
        <v>288</v>
      </c>
      <c r="E45" s="4" t="s">
        <v>368</v>
      </c>
      <c r="F45" s="4" t="s">
        <v>369</v>
      </c>
      <c r="G45" s="4" t="s">
        <v>370</v>
      </c>
      <c r="H45" s="20" t="s">
        <v>298</v>
      </c>
    </row>
    <row r="46" customFormat="false" ht="42.75" hidden="false" customHeight="true" outlineLevel="0" collapsed="false">
      <c r="A46" s="26" t="n">
        <v>21</v>
      </c>
      <c r="B46" s="20" t="s">
        <v>82</v>
      </c>
      <c r="C46" s="4" t="s">
        <v>288</v>
      </c>
      <c r="D46" s="4" t="s">
        <v>288</v>
      </c>
      <c r="E46" s="4" t="s">
        <v>308</v>
      </c>
      <c r="F46" s="4" t="s">
        <v>371</v>
      </c>
      <c r="G46" s="4" t="s">
        <v>372</v>
      </c>
      <c r="H46" s="20" t="s">
        <v>298</v>
      </c>
    </row>
    <row r="47" customFormat="false" ht="30" hidden="false" customHeight="true" outlineLevel="0" collapsed="false">
      <c r="A47" s="26" t="n">
        <v>22</v>
      </c>
      <c r="B47" s="20" t="s">
        <v>82</v>
      </c>
      <c r="C47" s="4" t="s">
        <v>288</v>
      </c>
      <c r="D47" s="4" t="s">
        <v>288</v>
      </c>
      <c r="E47" s="4" t="s">
        <v>373</v>
      </c>
      <c r="F47" s="4" t="s">
        <v>374</v>
      </c>
      <c r="G47" s="4" t="s">
        <v>375</v>
      </c>
      <c r="H47" s="20" t="s">
        <v>298</v>
      </c>
    </row>
    <row r="48" customFormat="false" ht="42.75" hidden="false" customHeight="true" outlineLevel="0" collapsed="false">
      <c r="A48" s="26" t="n">
        <v>23</v>
      </c>
      <c r="B48" s="20" t="s">
        <v>82</v>
      </c>
      <c r="C48" s="4" t="s">
        <v>286</v>
      </c>
      <c r="D48" s="4" t="s">
        <v>322</v>
      </c>
      <c r="E48" s="4" t="s">
        <v>308</v>
      </c>
      <c r="F48" s="4" t="s">
        <v>376</v>
      </c>
      <c r="G48" s="4" t="s">
        <v>377</v>
      </c>
      <c r="H48" s="20" t="s">
        <v>163</v>
      </c>
    </row>
    <row r="49" customFormat="false" ht="30" hidden="false" customHeight="true" outlineLevel="0" collapsed="false">
      <c r="A49" s="26" t="n">
        <v>24</v>
      </c>
      <c r="B49" s="20" t="s">
        <v>82</v>
      </c>
      <c r="C49" s="4" t="s">
        <v>286</v>
      </c>
      <c r="D49" s="4" t="s">
        <v>322</v>
      </c>
      <c r="E49" s="4" t="s">
        <v>308</v>
      </c>
      <c r="F49" s="4" t="s">
        <v>378</v>
      </c>
      <c r="G49" s="4" t="s">
        <v>379</v>
      </c>
      <c r="H49" s="20" t="s">
        <v>163</v>
      </c>
    </row>
    <row r="50" customFormat="false" ht="30" hidden="false" customHeight="true" outlineLevel="0" collapsed="false">
      <c r="A50" s="26" t="n">
        <v>25</v>
      </c>
      <c r="B50" s="20" t="s">
        <v>82</v>
      </c>
      <c r="C50" s="4" t="s">
        <v>292</v>
      </c>
      <c r="D50" s="4" t="s">
        <v>318</v>
      </c>
      <c r="E50" s="4" t="s">
        <v>380</v>
      </c>
      <c r="F50" s="4" t="s">
        <v>381</v>
      </c>
      <c r="G50" s="4" t="s">
        <v>382</v>
      </c>
      <c r="H50" s="20" t="s">
        <v>163</v>
      </c>
    </row>
    <row r="51" customFormat="false" ht="30" hidden="false" customHeight="true" outlineLevel="0" collapsed="false">
      <c r="A51" s="26" t="n">
        <v>26</v>
      </c>
      <c r="B51" s="20" t="s">
        <v>82</v>
      </c>
      <c r="C51" s="4" t="s">
        <v>290</v>
      </c>
      <c r="D51" s="4" t="s">
        <v>329</v>
      </c>
      <c r="E51" s="4" t="s">
        <v>383</v>
      </c>
      <c r="F51" s="4" t="s">
        <v>331</v>
      </c>
      <c r="G51" s="4" t="s">
        <v>384</v>
      </c>
      <c r="H51" s="20" t="s">
        <v>163</v>
      </c>
    </row>
    <row r="52" customFormat="false" ht="30" hidden="false" customHeight="true" outlineLevel="0" collapsed="false">
      <c r="A52" s="26" t="n">
        <v>27</v>
      </c>
      <c r="B52" s="20" t="s">
        <v>82</v>
      </c>
      <c r="C52" s="4" t="s">
        <v>287</v>
      </c>
      <c r="D52" s="4" t="s">
        <v>385</v>
      </c>
      <c r="E52" s="4" t="s">
        <v>386</v>
      </c>
      <c r="F52" s="4" t="s">
        <v>387</v>
      </c>
      <c r="G52" s="4" t="s">
        <v>388</v>
      </c>
      <c r="H52" s="20" t="s">
        <v>163</v>
      </c>
    </row>
    <row r="53" customFormat="false" ht="30" hidden="false" customHeight="true" outlineLevel="0" collapsed="false">
      <c r="A53" s="26" t="n">
        <v>28</v>
      </c>
      <c r="B53" s="20" t="s">
        <v>126</v>
      </c>
      <c r="C53" s="4" t="s">
        <v>286</v>
      </c>
      <c r="D53" s="4" t="s">
        <v>322</v>
      </c>
      <c r="E53" s="4" t="s">
        <v>308</v>
      </c>
      <c r="F53" s="4" t="s">
        <v>389</v>
      </c>
      <c r="G53" s="4" t="s">
        <v>390</v>
      </c>
      <c r="H53" s="20" t="s">
        <v>298</v>
      </c>
    </row>
    <row r="54" customFormat="false" ht="30" hidden="false" customHeight="true" outlineLevel="0" collapsed="false">
      <c r="A54" s="26" t="n">
        <v>29</v>
      </c>
      <c r="B54" s="20" t="s">
        <v>126</v>
      </c>
      <c r="C54" s="4" t="s">
        <v>286</v>
      </c>
      <c r="D54" s="4" t="s">
        <v>322</v>
      </c>
      <c r="E54" s="4" t="s">
        <v>308</v>
      </c>
      <c r="F54" s="4" t="s">
        <v>391</v>
      </c>
      <c r="G54" s="4" t="s">
        <v>392</v>
      </c>
      <c r="H54" s="20" t="s">
        <v>163</v>
      </c>
    </row>
    <row r="55" customFormat="false" ht="42.75" hidden="false" customHeight="true" outlineLevel="0" collapsed="false">
      <c r="A55" s="26" t="n">
        <v>30</v>
      </c>
      <c r="B55" s="20" t="s">
        <v>126</v>
      </c>
      <c r="C55" s="4" t="s">
        <v>286</v>
      </c>
      <c r="D55" s="4" t="s">
        <v>322</v>
      </c>
      <c r="E55" s="4" t="s">
        <v>308</v>
      </c>
      <c r="F55" s="4" t="s">
        <v>393</v>
      </c>
      <c r="G55" s="4" t="s">
        <v>394</v>
      </c>
      <c r="H55" s="20" t="s">
        <v>163</v>
      </c>
    </row>
    <row r="56" customFormat="false" ht="30" hidden="false" customHeight="true" outlineLevel="0" collapsed="false">
      <c r="A56" s="26" t="n">
        <v>31</v>
      </c>
      <c r="B56" s="20" t="s">
        <v>126</v>
      </c>
      <c r="C56" s="4" t="s">
        <v>286</v>
      </c>
      <c r="D56" s="4" t="s">
        <v>322</v>
      </c>
      <c r="E56" s="4" t="s">
        <v>308</v>
      </c>
      <c r="F56" s="4" t="s">
        <v>395</v>
      </c>
      <c r="G56" s="4" t="s">
        <v>396</v>
      </c>
      <c r="H56" s="20" t="s">
        <v>299</v>
      </c>
    </row>
    <row r="57" customFormat="false" ht="30" hidden="false" customHeight="true" outlineLevel="0" collapsed="false">
      <c r="A57" s="26" t="n">
        <v>32</v>
      </c>
      <c r="B57" s="20" t="s">
        <v>126</v>
      </c>
      <c r="C57" s="4" t="s">
        <v>287</v>
      </c>
      <c r="D57" s="4" t="s">
        <v>314</v>
      </c>
      <c r="E57" s="4" t="s">
        <v>373</v>
      </c>
      <c r="F57" s="4" t="s">
        <v>397</v>
      </c>
      <c r="G57" s="4" t="s">
        <v>398</v>
      </c>
      <c r="H57" s="20" t="s">
        <v>163</v>
      </c>
    </row>
    <row r="58" customFormat="false" ht="30" hidden="false" customHeight="true" outlineLevel="0" collapsed="false">
      <c r="A58" s="26" t="n">
        <v>33</v>
      </c>
      <c r="B58" s="20" t="s">
        <v>126</v>
      </c>
      <c r="C58" s="4" t="s">
        <v>287</v>
      </c>
      <c r="D58" s="4" t="s">
        <v>314</v>
      </c>
      <c r="E58" s="4" t="s">
        <v>337</v>
      </c>
      <c r="F58" s="4" t="s">
        <v>399</v>
      </c>
      <c r="G58" s="4" t="s">
        <v>400</v>
      </c>
      <c r="H58" s="20" t="s">
        <v>299</v>
      </c>
    </row>
    <row r="59" customFormat="false" ht="69" hidden="false" customHeight="true" outlineLevel="0" collapsed="false">
      <c r="A59" s="26" t="n">
        <v>34</v>
      </c>
      <c r="B59" s="20" t="s">
        <v>126</v>
      </c>
      <c r="C59" s="4" t="s">
        <v>291</v>
      </c>
      <c r="D59" s="4" t="s">
        <v>401</v>
      </c>
      <c r="E59" s="4" t="s">
        <v>402</v>
      </c>
      <c r="F59" s="4" t="s">
        <v>403</v>
      </c>
      <c r="G59" s="4" t="s">
        <v>404</v>
      </c>
      <c r="H59" s="20" t="s">
        <v>298</v>
      </c>
    </row>
    <row r="60" customFormat="false" ht="42.75" hidden="false" customHeight="true" outlineLevel="0" collapsed="false">
      <c r="A60" s="26" t="n">
        <v>35</v>
      </c>
      <c r="B60" s="20" t="s">
        <v>126</v>
      </c>
      <c r="C60" s="4" t="s">
        <v>291</v>
      </c>
      <c r="D60" s="4" t="s">
        <v>401</v>
      </c>
      <c r="E60" s="4" t="s">
        <v>337</v>
      </c>
      <c r="F60" s="4" t="s">
        <v>405</v>
      </c>
      <c r="G60" s="4" t="s">
        <v>406</v>
      </c>
      <c r="H60" s="20" t="s">
        <v>298</v>
      </c>
    </row>
    <row r="61" customFormat="false" ht="30" hidden="false" customHeight="true" outlineLevel="0" collapsed="false">
      <c r="A61" s="26" t="n">
        <v>36</v>
      </c>
      <c r="B61" s="20" t="s">
        <v>126</v>
      </c>
      <c r="C61" s="4" t="s">
        <v>290</v>
      </c>
      <c r="D61" s="4" t="s">
        <v>329</v>
      </c>
      <c r="E61" s="4" t="s">
        <v>407</v>
      </c>
      <c r="F61" s="4" t="s">
        <v>408</v>
      </c>
      <c r="G61" s="4" t="s">
        <v>409</v>
      </c>
      <c r="H61" s="20" t="s">
        <v>163</v>
      </c>
    </row>
    <row r="62" customFormat="false" ht="30" hidden="false" customHeight="true" outlineLevel="0" collapsed="false">
      <c r="A62" s="26" t="n">
        <v>37</v>
      </c>
      <c r="B62" s="20" t="s">
        <v>126</v>
      </c>
      <c r="C62" s="4" t="s">
        <v>293</v>
      </c>
      <c r="D62" s="4" t="s">
        <v>325</v>
      </c>
      <c r="E62" s="4" t="s">
        <v>410</v>
      </c>
      <c r="F62" s="4" t="s">
        <v>411</v>
      </c>
      <c r="G62" s="4" t="s">
        <v>412</v>
      </c>
      <c r="H62" s="20" t="s">
        <v>163</v>
      </c>
    </row>
    <row r="63" customFormat="false" ht="30" hidden="false" customHeight="true" outlineLevel="0" collapsed="false">
      <c r="A63" s="26" t="n">
        <v>38</v>
      </c>
      <c r="B63" s="20" t="s">
        <v>126</v>
      </c>
      <c r="C63" s="4" t="s">
        <v>289</v>
      </c>
      <c r="D63" s="4" t="s">
        <v>333</v>
      </c>
      <c r="E63" s="4" t="s">
        <v>362</v>
      </c>
      <c r="F63" s="4" t="s">
        <v>413</v>
      </c>
      <c r="G63" s="4" t="s">
        <v>414</v>
      </c>
      <c r="H63" s="20" t="s">
        <v>163</v>
      </c>
    </row>
    <row r="64" customFormat="false" ht="42.75" hidden="false" customHeight="true" outlineLevel="0" collapsed="false">
      <c r="A64" s="26" t="n">
        <v>39</v>
      </c>
      <c r="B64" s="20" t="s">
        <v>127</v>
      </c>
      <c r="C64" s="4" t="s">
        <v>288</v>
      </c>
      <c r="D64" s="4" t="s">
        <v>288</v>
      </c>
      <c r="E64" s="4" t="s">
        <v>368</v>
      </c>
      <c r="F64" s="4" t="s">
        <v>415</v>
      </c>
      <c r="G64" s="4" t="s">
        <v>416</v>
      </c>
      <c r="H64" s="20" t="s">
        <v>298</v>
      </c>
    </row>
    <row r="65" customFormat="false" ht="42.75" hidden="false" customHeight="true" outlineLevel="0" collapsed="false">
      <c r="A65" s="26" t="n">
        <v>40</v>
      </c>
      <c r="B65" s="20" t="s">
        <v>127</v>
      </c>
      <c r="C65" s="4" t="s">
        <v>287</v>
      </c>
      <c r="D65" s="4" t="s">
        <v>314</v>
      </c>
      <c r="E65" s="4" t="s">
        <v>417</v>
      </c>
      <c r="F65" s="4" t="s">
        <v>418</v>
      </c>
      <c r="G65" s="4" t="s">
        <v>419</v>
      </c>
      <c r="H65" s="20" t="s">
        <v>163</v>
      </c>
    </row>
    <row r="66" customFormat="false" ht="42.75" hidden="false" customHeight="true" outlineLevel="0" collapsed="false">
      <c r="A66" s="26" t="n">
        <v>41</v>
      </c>
      <c r="B66" s="20" t="s">
        <v>127</v>
      </c>
      <c r="C66" s="4" t="s">
        <v>287</v>
      </c>
      <c r="D66" s="4" t="s">
        <v>314</v>
      </c>
      <c r="E66" s="4" t="s">
        <v>420</v>
      </c>
      <c r="F66" s="4" t="s">
        <v>421</v>
      </c>
      <c r="G66" s="4" t="s">
        <v>422</v>
      </c>
      <c r="H66" s="20" t="s">
        <v>163</v>
      </c>
    </row>
    <row r="67" customFormat="false" ht="30" hidden="false" customHeight="true" outlineLevel="0" collapsed="false">
      <c r="A67" s="26" t="n">
        <v>42</v>
      </c>
      <c r="B67" s="20" t="s">
        <v>127</v>
      </c>
      <c r="C67" s="4" t="s">
        <v>286</v>
      </c>
      <c r="D67" s="4" t="s">
        <v>322</v>
      </c>
      <c r="E67" s="4" t="s">
        <v>308</v>
      </c>
      <c r="F67" s="4" t="s">
        <v>423</v>
      </c>
      <c r="G67" s="4" t="s">
        <v>424</v>
      </c>
      <c r="H67" s="20" t="s">
        <v>298</v>
      </c>
    </row>
    <row r="68" customFormat="false" ht="30" hidden="false" customHeight="true" outlineLevel="0" collapsed="false">
      <c r="A68" s="26" t="n">
        <v>43</v>
      </c>
      <c r="B68" s="20" t="s">
        <v>127</v>
      </c>
      <c r="C68" s="4" t="s">
        <v>286</v>
      </c>
      <c r="D68" s="4" t="s">
        <v>322</v>
      </c>
      <c r="E68" s="4" t="s">
        <v>308</v>
      </c>
      <c r="F68" s="4" t="s">
        <v>425</v>
      </c>
      <c r="G68" s="4" t="s">
        <v>426</v>
      </c>
      <c r="H68" s="20" t="s">
        <v>163</v>
      </c>
    </row>
    <row r="69" customFormat="false" ht="55.5" hidden="false" customHeight="true" outlineLevel="0" collapsed="false">
      <c r="A69" s="26" t="n">
        <v>44</v>
      </c>
      <c r="B69" s="20" t="s">
        <v>127</v>
      </c>
      <c r="C69" s="4" t="s">
        <v>291</v>
      </c>
      <c r="D69" s="4" t="s">
        <v>401</v>
      </c>
      <c r="E69" s="4" t="s">
        <v>402</v>
      </c>
      <c r="F69" s="4" t="s">
        <v>427</v>
      </c>
      <c r="G69" s="4" t="s">
        <v>428</v>
      </c>
      <c r="H69" s="20" t="s">
        <v>298</v>
      </c>
    </row>
    <row r="70" customFormat="false" ht="69" hidden="false" customHeight="true" outlineLevel="0" collapsed="false">
      <c r="A70" s="26" t="n">
        <v>45</v>
      </c>
      <c r="B70" s="20" t="s">
        <v>127</v>
      </c>
      <c r="C70" s="4" t="s">
        <v>294</v>
      </c>
      <c r="D70" s="4" t="s">
        <v>429</v>
      </c>
      <c r="E70" s="4" t="s">
        <v>430</v>
      </c>
      <c r="F70" s="4" t="s">
        <v>431</v>
      </c>
      <c r="G70" s="4" t="s">
        <v>432</v>
      </c>
      <c r="H70" s="20" t="s">
        <v>298</v>
      </c>
    </row>
    <row r="71" customFormat="false" ht="55.5" hidden="false" customHeight="true" outlineLevel="0" collapsed="false">
      <c r="A71" s="26" t="n">
        <v>46</v>
      </c>
      <c r="B71" s="20" t="s">
        <v>127</v>
      </c>
      <c r="C71" s="4" t="s">
        <v>292</v>
      </c>
      <c r="D71" s="4" t="s">
        <v>318</v>
      </c>
      <c r="E71" s="4" t="s">
        <v>433</v>
      </c>
      <c r="F71" s="4" t="s">
        <v>434</v>
      </c>
      <c r="G71" s="4" t="s">
        <v>435</v>
      </c>
      <c r="H71" s="20" t="s">
        <v>298</v>
      </c>
    </row>
    <row r="72" customFormat="false" ht="30" hidden="false" customHeight="true" outlineLevel="0" collapsed="false">
      <c r="A72" s="26" t="n">
        <v>47</v>
      </c>
      <c r="B72" s="20" t="s">
        <v>127</v>
      </c>
      <c r="C72" s="4" t="s">
        <v>293</v>
      </c>
      <c r="D72" s="4" t="s">
        <v>436</v>
      </c>
      <c r="E72" s="4" t="s">
        <v>437</v>
      </c>
      <c r="F72" s="4" t="s">
        <v>438</v>
      </c>
      <c r="G72" s="4" t="s">
        <v>439</v>
      </c>
      <c r="H72" s="20" t="s">
        <v>298</v>
      </c>
    </row>
    <row r="73" customFormat="false" ht="30" hidden="false" customHeight="true" outlineLevel="0" collapsed="false">
      <c r="A73" s="26" t="n">
        <v>48</v>
      </c>
      <c r="B73" s="20" t="s">
        <v>127</v>
      </c>
      <c r="C73" s="4" t="s">
        <v>290</v>
      </c>
      <c r="D73" s="4" t="s">
        <v>329</v>
      </c>
      <c r="E73" s="4" t="s">
        <v>407</v>
      </c>
      <c r="F73" s="4" t="s">
        <v>440</v>
      </c>
      <c r="G73" s="4" t="s">
        <v>409</v>
      </c>
      <c r="H73" s="20" t="s">
        <v>163</v>
      </c>
    </row>
    <row r="74" customFormat="false" ht="30" hidden="false" customHeight="true" outlineLevel="0" collapsed="false">
      <c r="A74" s="26" t="n">
        <v>49</v>
      </c>
      <c r="B74" s="20" t="s">
        <v>127</v>
      </c>
      <c r="C74" s="4" t="s">
        <v>289</v>
      </c>
      <c r="D74" s="4" t="s">
        <v>333</v>
      </c>
      <c r="E74" s="4" t="s">
        <v>441</v>
      </c>
      <c r="F74" s="4" t="s">
        <v>442</v>
      </c>
      <c r="G74" s="4" t="s">
        <v>443</v>
      </c>
      <c r="H74" s="20" t="s">
        <v>163</v>
      </c>
    </row>
    <row r="75" customFormat="false" ht="18" hidden="false" customHeight="true" outlineLevel="0" collapsed="false">
      <c r="A75" s="26" t="n">
        <v>50</v>
      </c>
      <c r="B75" s="20" t="s">
        <v>128</v>
      </c>
      <c r="C75" s="4" t="s">
        <v>287</v>
      </c>
      <c r="D75" s="4" t="s">
        <v>314</v>
      </c>
      <c r="E75" s="4" t="s">
        <v>444</v>
      </c>
      <c r="F75" s="4" t="s">
        <v>445</v>
      </c>
      <c r="G75" s="4" t="s">
        <v>446</v>
      </c>
      <c r="H75" s="20" t="s">
        <v>299</v>
      </c>
    </row>
    <row r="76" customFormat="false" ht="30" hidden="false" customHeight="true" outlineLevel="0" collapsed="false">
      <c r="A76" s="26" t="n">
        <v>51</v>
      </c>
      <c r="B76" s="20" t="s">
        <v>128</v>
      </c>
      <c r="C76" s="4" t="s">
        <v>287</v>
      </c>
      <c r="D76" s="4" t="s">
        <v>314</v>
      </c>
      <c r="E76" s="4" t="s">
        <v>417</v>
      </c>
      <c r="F76" s="4" t="s">
        <v>447</v>
      </c>
      <c r="G76" s="4" t="s">
        <v>448</v>
      </c>
      <c r="H76" s="20" t="s">
        <v>299</v>
      </c>
    </row>
    <row r="77" customFormat="false" ht="30" hidden="false" customHeight="true" outlineLevel="0" collapsed="false">
      <c r="A77" s="26" t="n">
        <v>52</v>
      </c>
      <c r="B77" s="20" t="s">
        <v>128</v>
      </c>
      <c r="C77" s="4" t="s">
        <v>286</v>
      </c>
      <c r="D77" s="4" t="s">
        <v>322</v>
      </c>
      <c r="E77" s="4" t="s">
        <v>308</v>
      </c>
      <c r="F77" s="4" t="s">
        <v>449</v>
      </c>
      <c r="G77" s="4" t="s">
        <v>450</v>
      </c>
      <c r="H77" s="20" t="s">
        <v>299</v>
      </c>
    </row>
    <row r="78" customFormat="false" ht="30" hidden="false" customHeight="true" outlineLevel="0" collapsed="false">
      <c r="A78" s="26" t="n">
        <v>53</v>
      </c>
      <c r="B78" s="20" t="s">
        <v>128</v>
      </c>
      <c r="C78" s="4" t="s">
        <v>292</v>
      </c>
      <c r="D78" s="4" t="s">
        <v>451</v>
      </c>
      <c r="E78" s="4" t="s">
        <v>340</v>
      </c>
      <c r="F78" s="4" t="s">
        <v>452</v>
      </c>
      <c r="G78" s="4" t="s">
        <v>453</v>
      </c>
      <c r="H78" s="20" t="s">
        <v>299</v>
      </c>
    </row>
    <row r="79" customFormat="false" ht="42.75" hidden="false" customHeight="true" outlineLevel="0" collapsed="false">
      <c r="A79" s="26" t="n">
        <v>54</v>
      </c>
      <c r="B79" s="20" t="s">
        <v>128</v>
      </c>
      <c r="C79" s="4" t="s">
        <v>290</v>
      </c>
      <c r="D79" s="4" t="s">
        <v>329</v>
      </c>
      <c r="E79" s="4" t="s">
        <v>454</v>
      </c>
      <c r="F79" s="4" t="s">
        <v>455</v>
      </c>
      <c r="G79" s="4" t="s">
        <v>456</v>
      </c>
      <c r="H79" s="20" t="s">
        <v>163</v>
      </c>
    </row>
    <row r="80" customFormat="false" ht="30" hidden="false" customHeight="true" outlineLevel="0" collapsed="false">
      <c r="A80" s="26" t="n">
        <v>55</v>
      </c>
      <c r="B80" s="20" t="s">
        <v>128</v>
      </c>
      <c r="C80" s="4" t="s">
        <v>294</v>
      </c>
      <c r="D80" s="4" t="s">
        <v>457</v>
      </c>
      <c r="E80" s="4" t="s">
        <v>458</v>
      </c>
      <c r="F80" s="4" t="s">
        <v>459</v>
      </c>
      <c r="G80" s="4" t="s">
        <v>460</v>
      </c>
      <c r="H80" s="20" t="s">
        <v>163</v>
      </c>
    </row>
    <row r="81" customFormat="false" ht="30" hidden="false" customHeight="true" outlineLevel="0" collapsed="false">
      <c r="A81" s="26" t="n">
        <v>56</v>
      </c>
      <c r="B81" s="20" t="s">
        <v>128</v>
      </c>
      <c r="C81" s="4" t="s">
        <v>290</v>
      </c>
      <c r="D81" s="4" t="s">
        <v>461</v>
      </c>
      <c r="E81" s="4" t="s">
        <v>430</v>
      </c>
      <c r="F81" s="4" t="s">
        <v>462</v>
      </c>
      <c r="G81" s="4" t="s">
        <v>463</v>
      </c>
      <c r="H81" s="20" t="s">
        <v>299</v>
      </c>
    </row>
    <row r="82" customFormat="false" ht="69" hidden="false" customHeight="true" outlineLevel="0" collapsed="false">
      <c r="A82" s="26" t="n">
        <v>57</v>
      </c>
      <c r="B82" s="20" t="s">
        <v>128</v>
      </c>
      <c r="C82" s="4" t="s">
        <v>289</v>
      </c>
      <c r="D82" s="4" t="s">
        <v>333</v>
      </c>
      <c r="E82" s="4" t="s">
        <v>362</v>
      </c>
      <c r="F82" s="4" t="s">
        <v>464</v>
      </c>
      <c r="G82" s="4" t="s">
        <v>465</v>
      </c>
      <c r="H82" s="20" t="s">
        <v>163</v>
      </c>
    </row>
    <row r="83" customFormat="false" ht="42.75" hidden="false" customHeight="true" outlineLevel="0" collapsed="false">
      <c r="A83" s="26" t="n">
        <v>58</v>
      </c>
      <c r="B83" s="20" t="s">
        <v>129</v>
      </c>
      <c r="C83" s="4" t="s">
        <v>288</v>
      </c>
      <c r="D83" s="4" t="s">
        <v>288</v>
      </c>
      <c r="E83" s="4" t="s">
        <v>466</v>
      </c>
      <c r="F83" s="4" t="s">
        <v>467</v>
      </c>
      <c r="G83" s="4" t="s">
        <v>468</v>
      </c>
      <c r="H83" s="20" t="s">
        <v>298</v>
      </c>
    </row>
    <row r="84" customFormat="false" ht="30" hidden="false" customHeight="true" outlineLevel="0" collapsed="false">
      <c r="A84" s="26" t="n">
        <v>59</v>
      </c>
      <c r="B84" s="20" t="s">
        <v>129</v>
      </c>
      <c r="C84" s="4" t="s">
        <v>288</v>
      </c>
      <c r="D84" s="4" t="s">
        <v>288</v>
      </c>
      <c r="E84" s="4" t="s">
        <v>308</v>
      </c>
      <c r="F84" s="4" t="s">
        <v>469</v>
      </c>
      <c r="G84" s="4" t="s">
        <v>470</v>
      </c>
      <c r="H84" s="20" t="s">
        <v>163</v>
      </c>
    </row>
    <row r="85" customFormat="false" ht="30" hidden="false" customHeight="true" outlineLevel="0" collapsed="false">
      <c r="A85" s="26" t="n">
        <v>60</v>
      </c>
      <c r="B85" s="20" t="s">
        <v>129</v>
      </c>
      <c r="C85" s="4" t="s">
        <v>286</v>
      </c>
      <c r="D85" s="4" t="s">
        <v>322</v>
      </c>
      <c r="E85" s="4" t="s">
        <v>308</v>
      </c>
      <c r="F85" s="4" t="s">
        <v>471</v>
      </c>
      <c r="G85" s="4" t="s">
        <v>472</v>
      </c>
      <c r="H85" s="20" t="s">
        <v>298</v>
      </c>
    </row>
    <row r="86" customFormat="false" ht="30" hidden="false" customHeight="true" outlineLevel="0" collapsed="false">
      <c r="A86" s="26" t="n">
        <v>61</v>
      </c>
      <c r="B86" s="20" t="s">
        <v>129</v>
      </c>
      <c r="C86" s="4" t="s">
        <v>286</v>
      </c>
      <c r="D86" s="4" t="s">
        <v>322</v>
      </c>
      <c r="E86" s="4" t="s">
        <v>308</v>
      </c>
      <c r="F86" s="4" t="s">
        <v>473</v>
      </c>
      <c r="G86" s="4" t="s">
        <v>474</v>
      </c>
      <c r="H86" s="20" t="s">
        <v>299</v>
      </c>
    </row>
    <row r="87" customFormat="false" ht="30" hidden="false" customHeight="true" outlineLevel="0" collapsed="false">
      <c r="A87" s="26" t="n">
        <v>62</v>
      </c>
      <c r="B87" s="20" t="s">
        <v>129</v>
      </c>
      <c r="C87" s="4" t="s">
        <v>286</v>
      </c>
      <c r="D87" s="4" t="s">
        <v>322</v>
      </c>
      <c r="E87" s="4" t="s">
        <v>308</v>
      </c>
      <c r="F87" s="4" t="s">
        <v>475</v>
      </c>
      <c r="G87" s="4" t="s">
        <v>476</v>
      </c>
      <c r="H87" s="20" t="s">
        <v>299</v>
      </c>
    </row>
    <row r="88" customFormat="false" ht="30" hidden="false" customHeight="true" outlineLevel="0" collapsed="false">
      <c r="A88" s="26" t="n">
        <v>63</v>
      </c>
      <c r="B88" s="20" t="s">
        <v>129</v>
      </c>
      <c r="C88" s="4" t="s">
        <v>291</v>
      </c>
      <c r="D88" s="4" t="s">
        <v>477</v>
      </c>
      <c r="E88" s="4" t="s">
        <v>478</v>
      </c>
      <c r="F88" s="4" t="s">
        <v>479</v>
      </c>
      <c r="G88" s="4" t="s">
        <v>480</v>
      </c>
      <c r="H88" s="20" t="s">
        <v>163</v>
      </c>
    </row>
    <row r="89" customFormat="false" ht="30" hidden="false" customHeight="true" outlineLevel="0" collapsed="false">
      <c r="A89" s="26" t="n">
        <v>64</v>
      </c>
      <c r="B89" s="20" t="s">
        <v>129</v>
      </c>
      <c r="C89" s="4" t="s">
        <v>293</v>
      </c>
      <c r="D89" s="4" t="s">
        <v>436</v>
      </c>
      <c r="E89" s="4" t="s">
        <v>45</v>
      </c>
      <c r="F89" s="4" t="s">
        <v>481</v>
      </c>
      <c r="G89" s="4" t="s">
        <v>482</v>
      </c>
      <c r="H89" s="20" t="s">
        <v>163</v>
      </c>
    </row>
    <row r="90" customFormat="false" ht="42.75" hidden="false" customHeight="true" outlineLevel="0" collapsed="false">
      <c r="A90" s="26" t="n">
        <v>65</v>
      </c>
      <c r="B90" s="20" t="s">
        <v>129</v>
      </c>
      <c r="C90" s="4" t="s">
        <v>290</v>
      </c>
      <c r="D90" s="4" t="s">
        <v>483</v>
      </c>
      <c r="E90" s="4" t="s">
        <v>484</v>
      </c>
      <c r="F90" s="4" t="s">
        <v>485</v>
      </c>
      <c r="G90" s="4" t="s">
        <v>486</v>
      </c>
      <c r="H90" s="20" t="s">
        <v>163</v>
      </c>
    </row>
    <row r="91" customFormat="false" ht="42.75" hidden="false" customHeight="true" outlineLevel="0" collapsed="false">
      <c r="A91" s="26" t="n">
        <v>66</v>
      </c>
      <c r="B91" s="20" t="s">
        <v>129</v>
      </c>
      <c r="C91" s="4" t="s">
        <v>289</v>
      </c>
      <c r="D91" s="4" t="s">
        <v>333</v>
      </c>
      <c r="E91" s="4" t="s">
        <v>362</v>
      </c>
      <c r="F91" s="4" t="s">
        <v>487</v>
      </c>
      <c r="G91" s="4" t="s">
        <v>488</v>
      </c>
      <c r="H91" s="20" t="s">
        <v>163</v>
      </c>
    </row>
    <row r="92" customFormat="false" ht="30" hidden="false" customHeight="true" outlineLevel="0" collapsed="false">
      <c r="A92" s="26" t="n">
        <v>67</v>
      </c>
      <c r="B92" s="20" t="s">
        <v>130</v>
      </c>
      <c r="C92" s="4" t="s">
        <v>287</v>
      </c>
      <c r="D92" s="4" t="s">
        <v>314</v>
      </c>
      <c r="E92" s="4" t="s">
        <v>417</v>
      </c>
      <c r="F92" s="4" t="s">
        <v>489</v>
      </c>
      <c r="G92" s="4" t="s">
        <v>490</v>
      </c>
      <c r="H92" s="20" t="s">
        <v>298</v>
      </c>
    </row>
    <row r="93" customFormat="false" ht="18" hidden="false" customHeight="true" outlineLevel="0" collapsed="false">
      <c r="A93" s="26" t="n">
        <v>68</v>
      </c>
      <c r="B93" s="20" t="s">
        <v>130</v>
      </c>
      <c r="C93" s="4" t="s">
        <v>287</v>
      </c>
      <c r="D93" s="4" t="s">
        <v>314</v>
      </c>
      <c r="E93" s="4" t="s">
        <v>491</v>
      </c>
      <c r="F93" s="4" t="s">
        <v>492</v>
      </c>
      <c r="G93" s="4" t="s">
        <v>493</v>
      </c>
      <c r="H93" s="20" t="s">
        <v>163</v>
      </c>
    </row>
    <row r="94" customFormat="false" ht="30" hidden="false" customHeight="true" outlineLevel="0" collapsed="false">
      <c r="A94" s="26" t="n">
        <v>69</v>
      </c>
      <c r="B94" s="20" t="s">
        <v>130</v>
      </c>
      <c r="C94" s="4" t="s">
        <v>287</v>
      </c>
      <c r="D94" s="4" t="s">
        <v>314</v>
      </c>
      <c r="E94" s="4" t="s">
        <v>368</v>
      </c>
      <c r="F94" s="4" t="s">
        <v>494</v>
      </c>
      <c r="G94" s="4" t="s">
        <v>495</v>
      </c>
      <c r="H94" s="20" t="s">
        <v>299</v>
      </c>
    </row>
    <row r="95" customFormat="false" ht="30" hidden="false" customHeight="true" outlineLevel="0" collapsed="false">
      <c r="A95" s="26" t="n">
        <v>70</v>
      </c>
      <c r="B95" s="20" t="s">
        <v>130</v>
      </c>
      <c r="C95" s="4" t="s">
        <v>286</v>
      </c>
      <c r="D95" s="4" t="s">
        <v>322</v>
      </c>
      <c r="E95" s="4" t="s">
        <v>308</v>
      </c>
      <c r="F95" s="4" t="s">
        <v>496</v>
      </c>
      <c r="G95" s="4" t="s">
        <v>497</v>
      </c>
      <c r="H95" s="20" t="s">
        <v>299</v>
      </c>
    </row>
    <row r="96" customFormat="false" ht="30" hidden="false" customHeight="true" outlineLevel="0" collapsed="false">
      <c r="A96" s="26" t="n">
        <v>71</v>
      </c>
      <c r="B96" s="20" t="s">
        <v>130</v>
      </c>
      <c r="C96" s="4" t="s">
        <v>286</v>
      </c>
      <c r="D96" s="4" t="s">
        <v>322</v>
      </c>
      <c r="E96" s="4" t="s">
        <v>308</v>
      </c>
      <c r="F96" s="4" t="s">
        <v>498</v>
      </c>
      <c r="G96" s="4" t="s">
        <v>499</v>
      </c>
      <c r="H96" s="20" t="s">
        <v>299</v>
      </c>
    </row>
    <row r="97" customFormat="false" ht="42.75" hidden="false" customHeight="true" outlineLevel="0" collapsed="false">
      <c r="A97" s="26" t="n">
        <v>72</v>
      </c>
      <c r="B97" s="20" t="s">
        <v>130</v>
      </c>
      <c r="C97" s="4" t="s">
        <v>291</v>
      </c>
      <c r="D97" s="4" t="s">
        <v>477</v>
      </c>
      <c r="E97" s="4" t="s">
        <v>500</v>
      </c>
      <c r="F97" s="4" t="s">
        <v>501</v>
      </c>
      <c r="G97" s="4" t="s">
        <v>502</v>
      </c>
      <c r="H97" s="20" t="s">
        <v>298</v>
      </c>
    </row>
    <row r="98" customFormat="false" ht="30" hidden="false" customHeight="true" outlineLevel="0" collapsed="false">
      <c r="A98" s="26" t="n">
        <v>73</v>
      </c>
      <c r="B98" s="20" t="s">
        <v>130</v>
      </c>
      <c r="C98" s="4" t="s">
        <v>291</v>
      </c>
      <c r="D98" s="4" t="s">
        <v>503</v>
      </c>
      <c r="E98" s="4" t="s">
        <v>37</v>
      </c>
      <c r="F98" s="4" t="s">
        <v>504</v>
      </c>
      <c r="G98" s="4" t="s">
        <v>505</v>
      </c>
      <c r="H98" s="20" t="s">
        <v>163</v>
      </c>
    </row>
    <row r="99" customFormat="false" ht="30" hidden="false" customHeight="true" outlineLevel="0" collapsed="false">
      <c r="A99" s="26" t="n">
        <v>74</v>
      </c>
      <c r="B99" s="20" t="s">
        <v>130</v>
      </c>
      <c r="C99" s="4" t="s">
        <v>293</v>
      </c>
      <c r="D99" s="4" t="s">
        <v>506</v>
      </c>
      <c r="E99" s="4" t="s">
        <v>37</v>
      </c>
      <c r="F99" s="4" t="s">
        <v>507</v>
      </c>
      <c r="G99" s="4" t="s">
        <v>508</v>
      </c>
      <c r="H99" s="20" t="s">
        <v>299</v>
      </c>
    </row>
    <row r="100" customFormat="false" ht="30" hidden="false" customHeight="true" outlineLevel="0" collapsed="false">
      <c r="A100" s="26" t="n">
        <v>75</v>
      </c>
      <c r="B100" s="20" t="s">
        <v>130</v>
      </c>
      <c r="C100" s="4" t="s">
        <v>289</v>
      </c>
      <c r="D100" s="4" t="s">
        <v>333</v>
      </c>
      <c r="E100" s="4" t="s">
        <v>509</v>
      </c>
      <c r="F100" s="4" t="s">
        <v>510</v>
      </c>
      <c r="G100" s="4" t="s">
        <v>511</v>
      </c>
      <c r="H100" s="20" t="s">
        <v>298</v>
      </c>
    </row>
    <row r="101" customFormat="false" ht="42.75" hidden="false" customHeight="true" outlineLevel="0" collapsed="false">
      <c r="A101" s="26" t="n">
        <v>76</v>
      </c>
      <c r="B101" s="20" t="s">
        <v>131</v>
      </c>
      <c r="C101" s="4" t="s">
        <v>287</v>
      </c>
      <c r="D101" s="4" t="s">
        <v>314</v>
      </c>
      <c r="E101" s="4" t="s">
        <v>417</v>
      </c>
      <c r="F101" s="4" t="s">
        <v>512</v>
      </c>
      <c r="G101" s="4" t="s">
        <v>513</v>
      </c>
      <c r="H101" s="20" t="s">
        <v>298</v>
      </c>
    </row>
    <row r="102" customFormat="false" ht="30" hidden="false" customHeight="true" outlineLevel="0" collapsed="false">
      <c r="A102" s="26" t="n">
        <v>77</v>
      </c>
      <c r="B102" s="20" t="s">
        <v>131</v>
      </c>
      <c r="C102" s="4" t="s">
        <v>287</v>
      </c>
      <c r="D102" s="4" t="s">
        <v>314</v>
      </c>
      <c r="E102" s="4" t="s">
        <v>37</v>
      </c>
      <c r="F102" s="4" t="s">
        <v>514</v>
      </c>
      <c r="G102" s="4" t="s">
        <v>515</v>
      </c>
      <c r="H102" s="20" t="s">
        <v>299</v>
      </c>
    </row>
    <row r="103" customFormat="false" ht="30" hidden="false" customHeight="true" outlineLevel="0" collapsed="false">
      <c r="A103" s="26" t="n">
        <v>78</v>
      </c>
      <c r="B103" s="20" t="s">
        <v>131</v>
      </c>
      <c r="C103" s="4" t="s">
        <v>287</v>
      </c>
      <c r="D103" s="4" t="s">
        <v>314</v>
      </c>
      <c r="E103" s="4" t="s">
        <v>516</v>
      </c>
      <c r="F103" s="4" t="s">
        <v>517</v>
      </c>
      <c r="G103" s="4" t="s">
        <v>518</v>
      </c>
      <c r="H103" s="20" t="s">
        <v>163</v>
      </c>
    </row>
    <row r="104" customFormat="false" ht="42.75" hidden="false" customHeight="true" outlineLevel="0" collapsed="false">
      <c r="A104" s="26" t="n">
        <v>79</v>
      </c>
      <c r="B104" s="20" t="s">
        <v>131</v>
      </c>
      <c r="C104" s="4" t="s">
        <v>286</v>
      </c>
      <c r="D104" s="4" t="s">
        <v>322</v>
      </c>
      <c r="E104" s="4" t="s">
        <v>308</v>
      </c>
      <c r="F104" s="4" t="s">
        <v>519</v>
      </c>
      <c r="G104" s="4" t="s">
        <v>520</v>
      </c>
      <c r="H104" s="20" t="s">
        <v>298</v>
      </c>
    </row>
    <row r="105" customFormat="false" ht="42.75" hidden="false" customHeight="true" outlineLevel="0" collapsed="false">
      <c r="A105" s="26" t="n">
        <v>80</v>
      </c>
      <c r="B105" s="20" t="s">
        <v>131</v>
      </c>
      <c r="C105" s="4" t="s">
        <v>286</v>
      </c>
      <c r="D105" s="4" t="s">
        <v>322</v>
      </c>
      <c r="E105" s="4" t="s">
        <v>308</v>
      </c>
      <c r="F105" s="4" t="s">
        <v>521</v>
      </c>
      <c r="G105" s="4" t="s">
        <v>522</v>
      </c>
      <c r="H105" s="20" t="s">
        <v>298</v>
      </c>
    </row>
    <row r="106" customFormat="false" ht="30" hidden="false" customHeight="true" outlineLevel="0" collapsed="false">
      <c r="A106" s="26" t="n">
        <v>81</v>
      </c>
      <c r="B106" s="20" t="s">
        <v>131</v>
      </c>
      <c r="C106" s="4" t="s">
        <v>286</v>
      </c>
      <c r="D106" s="4" t="s">
        <v>322</v>
      </c>
      <c r="E106" s="4" t="s">
        <v>308</v>
      </c>
      <c r="F106" s="4" t="s">
        <v>523</v>
      </c>
      <c r="G106" s="4" t="s">
        <v>524</v>
      </c>
      <c r="H106" s="20" t="s">
        <v>163</v>
      </c>
    </row>
    <row r="107" customFormat="false" ht="69" hidden="false" customHeight="true" outlineLevel="0" collapsed="false">
      <c r="A107" s="26" t="n">
        <v>82</v>
      </c>
      <c r="B107" s="20" t="s">
        <v>131</v>
      </c>
      <c r="C107" s="4" t="s">
        <v>286</v>
      </c>
      <c r="D107" s="4" t="s">
        <v>322</v>
      </c>
      <c r="E107" s="4" t="s">
        <v>308</v>
      </c>
      <c r="F107" s="4" t="s">
        <v>525</v>
      </c>
      <c r="G107" s="4" t="s">
        <v>526</v>
      </c>
      <c r="H107" s="20" t="s">
        <v>163</v>
      </c>
    </row>
    <row r="108" customFormat="false" ht="42.75" hidden="false" customHeight="true" outlineLevel="0" collapsed="false">
      <c r="A108" s="26" t="n">
        <v>83</v>
      </c>
      <c r="B108" s="20" t="s">
        <v>131</v>
      </c>
      <c r="C108" s="4" t="s">
        <v>291</v>
      </c>
      <c r="D108" s="4" t="s">
        <v>477</v>
      </c>
      <c r="E108" s="4" t="s">
        <v>516</v>
      </c>
      <c r="F108" s="4" t="s">
        <v>527</v>
      </c>
      <c r="G108" s="4" t="s">
        <v>528</v>
      </c>
      <c r="H108" s="20" t="s">
        <v>298</v>
      </c>
    </row>
    <row r="109" customFormat="false" ht="30" hidden="false" customHeight="true" outlineLevel="0" collapsed="false">
      <c r="A109" s="26" t="n">
        <v>84</v>
      </c>
      <c r="B109" s="20" t="s">
        <v>131</v>
      </c>
      <c r="C109" s="4" t="s">
        <v>291</v>
      </c>
      <c r="D109" s="4" t="s">
        <v>477</v>
      </c>
      <c r="E109" s="4" t="s">
        <v>37</v>
      </c>
      <c r="F109" s="4" t="s">
        <v>529</v>
      </c>
      <c r="G109" s="4" t="s">
        <v>530</v>
      </c>
      <c r="H109" s="20" t="s">
        <v>298</v>
      </c>
    </row>
    <row r="110" customFormat="false" ht="30" hidden="false" customHeight="true" outlineLevel="0" collapsed="false">
      <c r="A110" s="26" t="n">
        <v>85</v>
      </c>
      <c r="B110" s="20" t="s">
        <v>131</v>
      </c>
      <c r="C110" s="4" t="s">
        <v>293</v>
      </c>
      <c r="D110" s="4" t="s">
        <v>436</v>
      </c>
      <c r="E110" s="4" t="s">
        <v>356</v>
      </c>
      <c r="F110" s="4" t="s">
        <v>531</v>
      </c>
      <c r="G110" s="4" t="s">
        <v>532</v>
      </c>
      <c r="H110" s="20" t="s">
        <v>298</v>
      </c>
    </row>
    <row r="111" customFormat="false" ht="42.75" hidden="false" customHeight="true" outlineLevel="0" collapsed="false">
      <c r="A111" s="26" t="n">
        <v>86</v>
      </c>
      <c r="B111" s="20" t="s">
        <v>131</v>
      </c>
      <c r="C111" s="4" t="s">
        <v>290</v>
      </c>
      <c r="D111" s="4" t="s">
        <v>533</v>
      </c>
      <c r="E111" s="4" t="s">
        <v>534</v>
      </c>
      <c r="F111" s="4" t="s">
        <v>535</v>
      </c>
      <c r="G111" s="4" t="s">
        <v>536</v>
      </c>
      <c r="H111" s="20" t="s">
        <v>298</v>
      </c>
    </row>
    <row r="112" customFormat="false" ht="30" hidden="false" customHeight="true" outlineLevel="0" collapsed="false">
      <c r="A112" s="26" t="n">
        <v>87</v>
      </c>
      <c r="B112" s="20" t="s">
        <v>131</v>
      </c>
      <c r="C112" s="4" t="s">
        <v>289</v>
      </c>
      <c r="D112" s="4" t="s">
        <v>333</v>
      </c>
      <c r="E112" s="4" t="s">
        <v>362</v>
      </c>
      <c r="F112" s="4" t="s">
        <v>537</v>
      </c>
      <c r="G112" s="4" t="s">
        <v>538</v>
      </c>
      <c r="H112" s="20" t="s">
        <v>298</v>
      </c>
    </row>
    <row r="113" customFormat="false" ht="30" hidden="false" customHeight="true" outlineLevel="0" collapsed="false">
      <c r="A113" s="26" t="n">
        <v>88</v>
      </c>
      <c r="B113" s="20" t="s">
        <v>132</v>
      </c>
      <c r="C113" s="4" t="s">
        <v>287</v>
      </c>
      <c r="D113" s="4" t="s">
        <v>314</v>
      </c>
      <c r="E113" s="4" t="s">
        <v>311</v>
      </c>
      <c r="F113" s="4" t="s">
        <v>539</v>
      </c>
      <c r="G113" s="4" t="s">
        <v>540</v>
      </c>
      <c r="H113" s="20" t="s">
        <v>298</v>
      </c>
    </row>
    <row r="114" customFormat="false" ht="30" hidden="false" customHeight="true" outlineLevel="0" collapsed="false">
      <c r="A114" s="26" t="n">
        <v>89</v>
      </c>
      <c r="B114" s="20" t="s">
        <v>132</v>
      </c>
      <c r="C114" s="4" t="s">
        <v>287</v>
      </c>
      <c r="D114" s="4" t="s">
        <v>314</v>
      </c>
      <c r="E114" s="4" t="s">
        <v>516</v>
      </c>
      <c r="F114" s="4" t="s">
        <v>517</v>
      </c>
      <c r="G114" s="4" t="s">
        <v>541</v>
      </c>
      <c r="H114" s="20" t="s">
        <v>163</v>
      </c>
    </row>
    <row r="115" customFormat="false" ht="30" hidden="false" customHeight="true" outlineLevel="0" collapsed="false">
      <c r="A115" s="26" t="n">
        <v>90</v>
      </c>
      <c r="B115" s="20" t="s">
        <v>132</v>
      </c>
      <c r="C115" s="4" t="s">
        <v>288</v>
      </c>
      <c r="D115" s="4" t="s">
        <v>288</v>
      </c>
      <c r="E115" s="4" t="s">
        <v>542</v>
      </c>
      <c r="F115" s="4" t="s">
        <v>543</v>
      </c>
      <c r="G115" s="4" t="s">
        <v>544</v>
      </c>
      <c r="H115" s="20" t="s">
        <v>298</v>
      </c>
    </row>
    <row r="116" customFormat="false" ht="30" hidden="false" customHeight="true" outlineLevel="0" collapsed="false">
      <c r="A116" s="26" t="n">
        <v>91</v>
      </c>
      <c r="B116" s="20" t="s">
        <v>132</v>
      </c>
      <c r="C116" s="4" t="s">
        <v>286</v>
      </c>
      <c r="D116" s="4" t="s">
        <v>322</v>
      </c>
      <c r="E116" s="4" t="s">
        <v>308</v>
      </c>
      <c r="F116" s="4" t="s">
        <v>545</v>
      </c>
      <c r="G116" s="4" t="s">
        <v>546</v>
      </c>
      <c r="H116" s="20" t="s">
        <v>298</v>
      </c>
    </row>
    <row r="117" customFormat="false" ht="30" hidden="false" customHeight="true" outlineLevel="0" collapsed="false">
      <c r="A117" s="26" t="n">
        <v>92</v>
      </c>
      <c r="B117" s="20" t="s">
        <v>132</v>
      </c>
      <c r="C117" s="4" t="s">
        <v>286</v>
      </c>
      <c r="D117" s="4" t="s">
        <v>322</v>
      </c>
      <c r="E117" s="4" t="s">
        <v>308</v>
      </c>
      <c r="F117" s="4" t="s">
        <v>547</v>
      </c>
      <c r="G117" s="4" t="s">
        <v>548</v>
      </c>
      <c r="H117" s="20" t="s">
        <v>298</v>
      </c>
    </row>
    <row r="118" customFormat="false" ht="30" hidden="false" customHeight="true" outlineLevel="0" collapsed="false">
      <c r="A118" s="26" t="n">
        <v>93</v>
      </c>
      <c r="B118" s="20" t="s">
        <v>132</v>
      </c>
      <c r="C118" s="4" t="s">
        <v>286</v>
      </c>
      <c r="D118" s="4" t="s">
        <v>322</v>
      </c>
      <c r="E118" s="4" t="s">
        <v>308</v>
      </c>
      <c r="F118" s="4" t="s">
        <v>549</v>
      </c>
      <c r="G118" s="4" t="s">
        <v>550</v>
      </c>
      <c r="H118" s="20" t="s">
        <v>163</v>
      </c>
    </row>
    <row r="119" customFormat="false" ht="30" hidden="false" customHeight="true" outlineLevel="0" collapsed="false">
      <c r="A119" s="26" t="n">
        <v>94</v>
      </c>
      <c r="B119" s="20" t="s">
        <v>132</v>
      </c>
      <c r="C119" s="4" t="s">
        <v>291</v>
      </c>
      <c r="D119" s="4" t="s">
        <v>551</v>
      </c>
      <c r="E119" s="4" t="s">
        <v>552</v>
      </c>
      <c r="F119" s="4" t="s">
        <v>553</v>
      </c>
      <c r="G119" s="4" t="s">
        <v>554</v>
      </c>
      <c r="H119" s="20" t="s">
        <v>163</v>
      </c>
    </row>
    <row r="120" customFormat="false" ht="42.75" hidden="false" customHeight="true" outlineLevel="0" collapsed="false">
      <c r="A120" s="26" t="n">
        <v>95</v>
      </c>
      <c r="B120" s="20" t="s">
        <v>132</v>
      </c>
      <c r="C120" s="4" t="s">
        <v>289</v>
      </c>
      <c r="D120" s="4" t="s">
        <v>333</v>
      </c>
      <c r="E120" s="4" t="s">
        <v>555</v>
      </c>
      <c r="F120" s="4" t="s">
        <v>556</v>
      </c>
      <c r="G120" s="4" t="s">
        <v>557</v>
      </c>
      <c r="H120" s="20" t="s">
        <v>298</v>
      </c>
    </row>
    <row r="121" customFormat="false" ht="30" hidden="false" customHeight="true" outlineLevel="0" collapsed="false">
      <c r="A121" s="26" t="n">
        <v>96</v>
      </c>
      <c r="B121" s="20" t="s">
        <v>132</v>
      </c>
      <c r="C121" s="4" t="s">
        <v>294</v>
      </c>
      <c r="D121" s="4" t="s">
        <v>429</v>
      </c>
      <c r="E121" s="4" t="s">
        <v>383</v>
      </c>
      <c r="F121" s="4" t="s">
        <v>558</v>
      </c>
      <c r="G121" s="4" t="s">
        <v>559</v>
      </c>
      <c r="H121" s="20" t="s">
        <v>299</v>
      </c>
    </row>
    <row r="122" customFormat="false" ht="30" hidden="false" customHeight="true" outlineLevel="0" collapsed="false">
      <c r="A122" s="26" t="n">
        <v>97</v>
      </c>
      <c r="B122" s="20" t="s">
        <v>133</v>
      </c>
      <c r="C122" s="4" t="s">
        <v>288</v>
      </c>
      <c r="D122" s="4" t="s">
        <v>288</v>
      </c>
      <c r="E122" s="4" t="s">
        <v>308</v>
      </c>
      <c r="F122" s="4" t="s">
        <v>560</v>
      </c>
      <c r="G122" s="4" t="s">
        <v>561</v>
      </c>
      <c r="H122" s="20" t="s">
        <v>163</v>
      </c>
    </row>
    <row r="123" customFormat="false" ht="42.75" hidden="false" customHeight="true" outlineLevel="0" collapsed="false">
      <c r="A123" s="26" t="n">
        <v>98</v>
      </c>
      <c r="B123" s="20" t="s">
        <v>133</v>
      </c>
      <c r="C123" s="4" t="s">
        <v>287</v>
      </c>
      <c r="D123" s="4" t="s">
        <v>314</v>
      </c>
      <c r="E123" s="4" t="s">
        <v>562</v>
      </c>
      <c r="F123" s="4" t="s">
        <v>563</v>
      </c>
      <c r="G123" s="4" t="s">
        <v>564</v>
      </c>
      <c r="H123" s="20" t="s">
        <v>163</v>
      </c>
    </row>
    <row r="124" customFormat="false" ht="55.5" hidden="false" customHeight="true" outlineLevel="0" collapsed="false">
      <c r="A124" s="26" t="n">
        <v>99</v>
      </c>
      <c r="B124" s="20" t="s">
        <v>133</v>
      </c>
      <c r="C124" s="4" t="s">
        <v>291</v>
      </c>
      <c r="D124" s="4" t="s">
        <v>477</v>
      </c>
      <c r="E124" s="4" t="s">
        <v>565</v>
      </c>
      <c r="F124" s="4" t="s">
        <v>566</v>
      </c>
      <c r="G124" s="4" t="s">
        <v>567</v>
      </c>
      <c r="H124" s="20" t="s">
        <v>163</v>
      </c>
    </row>
    <row r="125" customFormat="false" ht="30" hidden="false" customHeight="true" outlineLevel="0" collapsed="false">
      <c r="A125" s="26" t="n">
        <v>100</v>
      </c>
      <c r="B125" s="20" t="s">
        <v>133</v>
      </c>
      <c r="C125" s="4" t="s">
        <v>287</v>
      </c>
      <c r="D125" s="4" t="s">
        <v>568</v>
      </c>
      <c r="E125" s="4" t="s">
        <v>373</v>
      </c>
      <c r="F125" s="4" t="s">
        <v>569</v>
      </c>
      <c r="G125" s="4" t="s">
        <v>570</v>
      </c>
      <c r="H125" s="20" t="s">
        <v>299</v>
      </c>
    </row>
    <row r="126" customFormat="false" ht="55.5" hidden="false" customHeight="true" outlineLevel="0" collapsed="false">
      <c r="A126" s="26" t="n">
        <v>101</v>
      </c>
      <c r="B126" s="20" t="s">
        <v>133</v>
      </c>
      <c r="C126" s="4" t="s">
        <v>291</v>
      </c>
      <c r="D126" s="4" t="s">
        <v>571</v>
      </c>
      <c r="E126" s="4" t="s">
        <v>572</v>
      </c>
      <c r="F126" s="4" t="s">
        <v>573</v>
      </c>
      <c r="G126" s="4" t="s">
        <v>574</v>
      </c>
      <c r="H126" s="20" t="s">
        <v>298</v>
      </c>
    </row>
    <row r="127" customFormat="false" ht="55.5" hidden="false" customHeight="true" outlineLevel="0" collapsed="false">
      <c r="A127" s="26" t="n">
        <v>102</v>
      </c>
      <c r="B127" s="20" t="s">
        <v>133</v>
      </c>
      <c r="C127" s="4" t="s">
        <v>290</v>
      </c>
      <c r="D127" s="4" t="s">
        <v>329</v>
      </c>
      <c r="E127" s="4" t="s">
        <v>575</v>
      </c>
      <c r="F127" s="4" t="s">
        <v>360</v>
      </c>
      <c r="G127" s="4" t="s">
        <v>576</v>
      </c>
      <c r="H127" s="20" t="s">
        <v>163</v>
      </c>
    </row>
    <row r="128" customFormat="false" ht="30" hidden="false" customHeight="true" outlineLevel="0" collapsed="false">
      <c r="A128" s="26" t="n">
        <v>103</v>
      </c>
      <c r="B128" s="20" t="s">
        <v>133</v>
      </c>
      <c r="C128" s="4" t="s">
        <v>293</v>
      </c>
      <c r="D128" s="4" t="s">
        <v>436</v>
      </c>
      <c r="E128" s="4" t="s">
        <v>356</v>
      </c>
      <c r="F128" s="4" t="s">
        <v>577</v>
      </c>
      <c r="G128" s="4" t="s">
        <v>578</v>
      </c>
      <c r="H128" s="20" t="s">
        <v>163</v>
      </c>
    </row>
    <row r="129" customFormat="false" ht="30" hidden="false" customHeight="true" outlineLevel="0" collapsed="false">
      <c r="A129" s="26" t="n">
        <v>104</v>
      </c>
      <c r="B129" s="20" t="s">
        <v>133</v>
      </c>
      <c r="C129" s="4" t="s">
        <v>289</v>
      </c>
      <c r="D129" s="4" t="s">
        <v>333</v>
      </c>
      <c r="E129" s="4" t="s">
        <v>334</v>
      </c>
      <c r="F129" s="4" t="s">
        <v>579</v>
      </c>
      <c r="G129" s="4" t="s">
        <v>443</v>
      </c>
      <c r="H129" s="20" t="s">
        <v>298</v>
      </c>
    </row>
  </sheetData>
  <autoFilter ref="A25:H129"/>
  <mergeCells count="3">
    <mergeCell ref="A3:N3"/>
    <mergeCell ref="A16:N16"/>
    <mergeCell ref="A24:N24"/>
  </mergeCells>
  <conditionalFormatting sqref="H26:H129">
    <cfRule type="cellIs" priority="2" operator="equal" aboveAverage="0" equalAverage="0" bottom="0" percent="0" rank="0" text="" dxfId="0">
      <formula>"Alta"</formula>
    </cfRule>
    <cfRule type="cellIs" priority="3" operator="equal" aboveAverage="0" equalAverage="0" bottom="0" percent="0" rank="0" text="" dxfId="3">
      <formula>"Media"</formula>
    </cfRule>
    <cfRule type="cellIs" priority="4" operator="equal" aboveAverage="0" equalAverage="0" bottom="0" percent="0" rank="0" text="" dxfId="1">
      <formula>"Baja"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O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30"/>
    <col collapsed="false" customWidth="true" hidden="false" outlineLevel="0" max="4" min="4" style="0" width="9"/>
    <col collapsed="false" customWidth="true" hidden="false" outlineLevel="0" max="13" min="5" style="0" width="8"/>
    <col collapsed="false" customWidth="true" hidden="false" outlineLevel="0" max="14" min="14" style="0" width="12"/>
    <col collapsed="false" customWidth="true" hidden="false" outlineLevel="0" max="15" min="15" style="0" width="16"/>
  </cols>
  <sheetData>
    <row r="1" customFormat="false" ht="17.35" hidden="false" customHeight="false" outlineLevel="0" collapsed="false">
      <c r="A1" s="1" t="s">
        <v>580</v>
      </c>
    </row>
    <row r="2" customFormat="false" ht="15" hidden="false" customHeight="false" outlineLevel="0" collapsed="false">
      <c r="A2" s="2" t="s">
        <v>581</v>
      </c>
    </row>
    <row r="4" customFormat="false" ht="39.75" hidden="false" customHeight="true" outlineLevel="0" collapsed="false">
      <c r="A4" s="12" t="s">
        <v>302</v>
      </c>
      <c r="B4" s="12" t="s">
        <v>582</v>
      </c>
      <c r="C4" s="12" t="s">
        <v>78</v>
      </c>
      <c r="D4" s="12" t="s">
        <v>80</v>
      </c>
      <c r="E4" s="12" t="s">
        <v>82</v>
      </c>
      <c r="F4" s="12" t="s">
        <v>126</v>
      </c>
      <c r="G4" s="12" t="s">
        <v>127</v>
      </c>
      <c r="H4" s="12" t="s">
        <v>128</v>
      </c>
      <c r="I4" s="12" t="s">
        <v>129</v>
      </c>
      <c r="J4" s="12" t="s">
        <v>130</v>
      </c>
      <c r="K4" s="12" t="s">
        <v>131</v>
      </c>
      <c r="L4" s="12" t="s">
        <v>132</v>
      </c>
      <c r="M4" s="12" t="s">
        <v>133</v>
      </c>
      <c r="N4" s="12" t="s">
        <v>179</v>
      </c>
      <c r="O4" s="12" t="s">
        <v>583</v>
      </c>
    </row>
    <row r="5" customFormat="false" ht="15" hidden="false" customHeight="false" outlineLevel="0" collapsed="false">
      <c r="A5" s="26" t="n">
        <v>1</v>
      </c>
      <c r="B5" s="4" t="s">
        <v>584</v>
      </c>
      <c r="C5" s="22" t="n">
        <v>1</v>
      </c>
      <c r="D5" s="22" t="n">
        <v>1</v>
      </c>
      <c r="E5" s="22" t="n">
        <v>2</v>
      </c>
      <c r="F5" s="22" t="n">
        <v>2</v>
      </c>
      <c r="G5" s="22" t="n">
        <v>1</v>
      </c>
      <c r="H5" s="22" t="n">
        <v>2</v>
      </c>
      <c r="I5" s="22" t="n">
        <v>2</v>
      </c>
      <c r="J5" s="22" t="n">
        <v>2</v>
      </c>
      <c r="K5" s="22" t="n">
        <v>2</v>
      </c>
      <c r="L5" s="22" t="n">
        <v>2</v>
      </c>
      <c r="M5" s="22" t="n">
        <v>1</v>
      </c>
      <c r="N5" s="24" t="n">
        <f aca="false">AVERAGE(C5:M5)</f>
        <v>1.63636363636364</v>
      </c>
      <c r="O5" s="30" t="n">
        <f aca="false">COUNTIF(C5:M5,2)/COUNT(C5:M5)</f>
        <v>0.636363636363636</v>
      </c>
    </row>
    <row r="6" customFormat="false" ht="15" hidden="false" customHeight="false" outlineLevel="0" collapsed="false">
      <c r="A6" s="26" t="n">
        <v>2</v>
      </c>
      <c r="B6" s="4" t="s">
        <v>585</v>
      </c>
      <c r="C6" s="22" t="n">
        <v>0</v>
      </c>
      <c r="D6" s="22" t="n">
        <v>2</v>
      </c>
      <c r="E6" s="22" t="n">
        <v>2</v>
      </c>
      <c r="F6" s="22" t="n">
        <v>2</v>
      </c>
      <c r="G6" s="22" t="n">
        <v>2</v>
      </c>
      <c r="H6" s="22" t="n">
        <v>2</v>
      </c>
      <c r="I6" s="22" t="n">
        <v>2</v>
      </c>
      <c r="J6" s="22" t="n">
        <v>2</v>
      </c>
      <c r="K6" s="22" t="n">
        <v>1</v>
      </c>
      <c r="L6" s="22" t="n">
        <v>2</v>
      </c>
      <c r="M6" s="22" t="n">
        <v>2</v>
      </c>
      <c r="N6" s="24" t="n">
        <f aca="false">AVERAGE(C6:M6)</f>
        <v>1.72727272727273</v>
      </c>
      <c r="O6" s="30" t="n">
        <f aca="false">COUNTIF(C6:M6,2)/COUNT(C6:M6)</f>
        <v>0.818181818181818</v>
      </c>
    </row>
    <row r="7" customFormat="false" ht="15" hidden="false" customHeight="false" outlineLevel="0" collapsed="false">
      <c r="A7" s="26" t="n">
        <v>3</v>
      </c>
      <c r="B7" s="4" t="s">
        <v>586</v>
      </c>
      <c r="C7" s="22" t="n">
        <v>1</v>
      </c>
      <c r="D7" s="22" t="n">
        <v>1</v>
      </c>
      <c r="E7" s="22" t="n">
        <v>1</v>
      </c>
      <c r="F7" s="22" t="n">
        <v>1</v>
      </c>
      <c r="G7" s="22" t="n">
        <v>1</v>
      </c>
      <c r="H7" s="22" t="n">
        <v>1</v>
      </c>
      <c r="I7" s="22" t="n">
        <v>2</v>
      </c>
      <c r="J7" s="22" t="n">
        <v>1</v>
      </c>
      <c r="K7" s="22" t="n">
        <v>1</v>
      </c>
      <c r="L7" s="22" t="n">
        <v>2</v>
      </c>
      <c r="M7" s="22" t="n">
        <v>1</v>
      </c>
      <c r="N7" s="24" t="n">
        <f aca="false">AVERAGE(C7:M7)</f>
        <v>1.18181818181818</v>
      </c>
      <c r="O7" s="30" t="n">
        <f aca="false">COUNTIF(C7:M7,2)/COUNT(C7:M7)</f>
        <v>0.181818181818182</v>
      </c>
    </row>
    <row r="8" customFormat="false" ht="15" hidden="false" customHeight="false" outlineLevel="0" collapsed="false">
      <c r="A8" s="26" t="n">
        <v>4</v>
      </c>
      <c r="B8" s="4" t="s">
        <v>587</v>
      </c>
      <c r="C8" s="22" t="n">
        <v>1</v>
      </c>
      <c r="D8" s="22" t="n">
        <v>1</v>
      </c>
      <c r="E8" s="22" t="n">
        <v>2</v>
      </c>
      <c r="F8" s="22" t="n">
        <v>2</v>
      </c>
      <c r="G8" s="22" t="n">
        <v>1</v>
      </c>
      <c r="H8" s="22" t="n">
        <v>1</v>
      </c>
      <c r="I8" s="22" t="n">
        <v>2</v>
      </c>
      <c r="J8" s="22" t="n">
        <v>2</v>
      </c>
      <c r="K8" s="22" t="n">
        <v>1</v>
      </c>
      <c r="L8" s="22" t="n">
        <v>1</v>
      </c>
      <c r="M8" s="22" t="n">
        <v>1</v>
      </c>
      <c r="N8" s="24" t="n">
        <f aca="false">AVERAGE(C8:M8)</f>
        <v>1.36363636363636</v>
      </c>
      <c r="O8" s="30" t="n">
        <f aca="false">COUNTIF(C8:M8,2)/COUNT(C8:M8)</f>
        <v>0.363636363636364</v>
      </c>
    </row>
    <row r="9" customFormat="false" ht="23.85" hidden="false" customHeight="false" outlineLevel="0" collapsed="false">
      <c r="A9" s="26" t="n">
        <v>5</v>
      </c>
      <c r="B9" s="4" t="s">
        <v>588</v>
      </c>
      <c r="C9" s="22" t="n">
        <v>0</v>
      </c>
      <c r="D9" s="22" t="n">
        <v>0</v>
      </c>
      <c r="E9" s="22" t="n">
        <v>1</v>
      </c>
      <c r="F9" s="22" t="n">
        <v>1</v>
      </c>
      <c r="G9" s="22" t="n">
        <v>0</v>
      </c>
      <c r="H9" s="22" t="n">
        <v>2</v>
      </c>
      <c r="I9" s="22" t="n">
        <v>1</v>
      </c>
      <c r="J9" s="22" t="n">
        <v>2</v>
      </c>
      <c r="K9" s="22" t="n">
        <v>1</v>
      </c>
      <c r="L9" s="22" t="n">
        <v>2</v>
      </c>
      <c r="M9" s="22" t="n">
        <v>2</v>
      </c>
      <c r="N9" s="24" t="n">
        <f aca="false">AVERAGE(C9:M9)</f>
        <v>1.09090909090909</v>
      </c>
      <c r="O9" s="30" t="n">
        <f aca="false">COUNTIF(C9:M9,2)/COUNT(C9:M9)</f>
        <v>0.363636363636364</v>
      </c>
    </row>
    <row r="10" customFormat="false" ht="15" hidden="false" customHeight="false" outlineLevel="0" collapsed="false">
      <c r="A10" s="14"/>
      <c r="B10" s="35" t="s">
        <v>589</v>
      </c>
      <c r="C10" s="33" t="n">
        <f aca="false">SUM(C5:C9)/(2*COUNT(C5:C9))</f>
        <v>0.3</v>
      </c>
      <c r="D10" s="33" t="n">
        <f aca="false">SUM(D5:D9)/(2*COUNT(D5:D9))</f>
        <v>0.5</v>
      </c>
      <c r="E10" s="33" t="n">
        <f aca="false">SUM(E5:E9)/(2*COUNT(E5:E9))</f>
        <v>0.8</v>
      </c>
      <c r="F10" s="33" t="n">
        <f aca="false">SUM(F5:F9)/(2*COUNT(F5:F9))</f>
        <v>0.8</v>
      </c>
      <c r="G10" s="33" t="n">
        <f aca="false">SUM(G5:G9)/(2*COUNT(G5:G9))</f>
        <v>0.5</v>
      </c>
      <c r="H10" s="33" t="n">
        <f aca="false">SUM(H5:H9)/(2*COUNT(H5:H9))</f>
        <v>0.8</v>
      </c>
      <c r="I10" s="33" t="n">
        <f aca="false">SUM(I5:I9)/(2*COUNT(I5:I9))</f>
        <v>0.9</v>
      </c>
      <c r="J10" s="33" t="n">
        <f aca="false">SUM(J5:J9)/(2*COUNT(J5:J9))</f>
        <v>0.9</v>
      </c>
      <c r="K10" s="33" t="n">
        <f aca="false">SUM(K5:K9)/(2*COUNT(K5:K9))</f>
        <v>0.6</v>
      </c>
      <c r="L10" s="33" t="n">
        <f aca="false">SUM(L5:L9)/(2*COUNT(L5:L9))</f>
        <v>0.9</v>
      </c>
      <c r="M10" s="33" t="n">
        <f aca="false">SUM(M5:M9)/(2*COUNT(M5:M9))</f>
        <v>0.7</v>
      </c>
      <c r="N10" s="33" t="n">
        <f aca="false">AVERAGE(C10:M10)</f>
        <v>0.7</v>
      </c>
      <c r="O10" s="14"/>
    </row>
    <row r="12" customFormat="false" ht="15" hidden="false" customHeight="false" outlineLevel="0" collapsed="false">
      <c r="A12" s="5" t="s">
        <v>590</v>
      </c>
      <c r="B12" s="5"/>
      <c r="C12" s="5"/>
      <c r="D12" s="5"/>
      <c r="E12" s="5"/>
      <c r="F12" s="5"/>
      <c r="G12" s="5"/>
      <c r="H12" s="5"/>
      <c r="I12" s="5"/>
      <c r="J12" s="5"/>
      <c r="K12" s="5"/>
      <c r="L12" s="5"/>
      <c r="M12" s="5"/>
      <c r="N12" s="5"/>
      <c r="O12" s="5"/>
    </row>
    <row r="13" customFormat="false" ht="24" hidden="false" customHeight="true" outlineLevel="0" collapsed="false">
      <c r="A13" s="12" t="s">
        <v>302</v>
      </c>
      <c r="B13" s="12" t="s">
        <v>145</v>
      </c>
      <c r="C13" s="12" t="s">
        <v>582</v>
      </c>
      <c r="D13" s="12" t="s">
        <v>33</v>
      </c>
      <c r="E13" s="12" t="s">
        <v>591</v>
      </c>
    </row>
    <row r="14" customFormat="false" ht="30" hidden="false" customHeight="true" outlineLevel="0" collapsed="false">
      <c r="A14" s="26" t="n">
        <v>1</v>
      </c>
      <c r="B14" s="20" t="s">
        <v>78</v>
      </c>
      <c r="C14" s="4" t="s">
        <v>584</v>
      </c>
      <c r="D14" s="26" t="n">
        <f aca="false">C5</f>
        <v>1</v>
      </c>
      <c r="E14" s="4" t="s">
        <v>592</v>
      </c>
      <c r="F14" s="4"/>
      <c r="G14" s="4"/>
      <c r="H14" s="4"/>
      <c r="I14" s="4"/>
      <c r="J14" s="4"/>
      <c r="K14" s="4"/>
      <c r="L14" s="4"/>
      <c r="M14" s="4"/>
      <c r="N14" s="4"/>
      <c r="O14" s="4"/>
    </row>
    <row r="15" customFormat="false" ht="30" hidden="false" customHeight="true" outlineLevel="0" collapsed="false">
      <c r="A15" s="26" t="n">
        <v>2</v>
      </c>
      <c r="B15" s="20" t="s">
        <v>78</v>
      </c>
      <c r="C15" s="4" t="s">
        <v>585</v>
      </c>
      <c r="D15" s="26" t="n">
        <f aca="false">C6</f>
        <v>0</v>
      </c>
      <c r="E15" s="4" t="s">
        <v>593</v>
      </c>
      <c r="F15" s="4"/>
      <c r="G15" s="4"/>
      <c r="H15" s="4"/>
      <c r="I15" s="4"/>
      <c r="J15" s="4"/>
      <c r="K15" s="4"/>
      <c r="L15" s="4"/>
      <c r="M15" s="4"/>
      <c r="N15" s="4"/>
      <c r="O15" s="4"/>
    </row>
    <row r="16" customFormat="false" ht="30" hidden="false" customHeight="true" outlineLevel="0" collapsed="false">
      <c r="A16" s="26" t="n">
        <v>3</v>
      </c>
      <c r="B16" s="20" t="s">
        <v>78</v>
      </c>
      <c r="C16" s="4" t="s">
        <v>586</v>
      </c>
      <c r="D16" s="26" t="n">
        <f aca="false">C7</f>
        <v>1</v>
      </c>
      <c r="E16" s="4" t="s">
        <v>594</v>
      </c>
      <c r="F16" s="4"/>
      <c r="G16" s="4"/>
      <c r="H16" s="4"/>
      <c r="I16" s="4"/>
      <c r="J16" s="4"/>
      <c r="K16" s="4"/>
      <c r="L16" s="4"/>
      <c r="M16" s="4"/>
      <c r="N16" s="4"/>
      <c r="O16" s="4"/>
    </row>
    <row r="17" customFormat="false" ht="30" hidden="false" customHeight="true" outlineLevel="0" collapsed="false">
      <c r="A17" s="26" t="n">
        <v>4</v>
      </c>
      <c r="B17" s="20" t="s">
        <v>78</v>
      </c>
      <c r="C17" s="4" t="s">
        <v>587</v>
      </c>
      <c r="D17" s="26" t="n">
        <f aca="false">C8</f>
        <v>1</v>
      </c>
      <c r="E17" s="4" t="s">
        <v>595</v>
      </c>
      <c r="F17" s="4"/>
      <c r="G17" s="4"/>
      <c r="H17" s="4"/>
      <c r="I17" s="4"/>
      <c r="J17" s="4"/>
      <c r="K17" s="4"/>
      <c r="L17" s="4"/>
      <c r="M17" s="4"/>
      <c r="N17" s="4"/>
      <c r="O17" s="4"/>
    </row>
    <row r="18" customFormat="false" ht="42.75" hidden="false" customHeight="true" outlineLevel="0" collapsed="false">
      <c r="A18" s="26" t="n">
        <v>5</v>
      </c>
      <c r="B18" s="20" t="s">
        <v>78</v>
      </c>
      <c r="C18" s="4" t="s">
        <v>588</v>
      </c>
      <c r="D18" s="26" t="n">
        <f aca="false">C9</f>
        <v>0</v>
      </c>
      <c r="E18" s="4" t="s">
        <v>596</v>
      </c>
      <c r="F18" s="4"/>
      <c r="G18" s="4"/>
      <c r="H18" s="4"/>
      <c r="I18" s="4"/>
      <c r="J18" s="4"/>
      <c r="K18" s="4"/>
      <c r="L18" s="4"/>
      <c r="M18" s="4"/>
      <c r="N18" s="4"/>
      <c r="O18" s="4"/>
    </row>
    <row r="19" customFormat="false" ht="30" hidden="false" customHeight="true" outlineLevel="0" collapsed="false">
      <c r="A19" s="26" t="n">
        <v>1</v>
      </c>
      <c r="B19" s="20" t="s">
        <v>80</v>
      </c>
      <c r="C19" s="4" t="s">
        <v>584</v>
      </c>
      <c r="D19" s="26" t="n">
        <f aca="false">D5</f>
        <v>1</v>
      </c>
      <c r="E19" s="4" t="s">
        <v>597</v>
      </c>
      <c r="F19" s="4"/>
      <c r="G19" s="4"/>
      <c r="H19" s="4"/>
      <c r="I19" s="4"/>
      <c r="J19" s="4"/>
      <c r="K19" s="4"/>
      <c r="L19" s="4"/>
      <c r="M19" s="4"/>
      <c r="N19" s="4"/>
      <c r="O19" s="4"/>
    </row>
    <row r="20" customFormat="false" ht="30" hidden="false" customHeight="true" outlineLevel="0" collapsed="false">
      <c r="A20" s="26" t="n">
        <v>2</v>
      </c>
      <c r="B20" s="20" t="s">
        <v>80</v>
      </c>
      <c r="C20" s="4" t="s">
        <v>585</v>
      </c>
      <c r="D20" s="26" t="n">
        <f aca="false">D6</f>
        <v>2</v>
      </c>
      <c r="E20" s="4" t="s">
        <v>598</v>
      </c>
      <c r="F20" s="4"/>
      <c r="G20" s="4"/>
      <c r="H20" s="4"/>
      <c r="I20" s="4"/>
      <c r="J20" s="4"/>
      <c r="K20" s="4"/>
      <c r="L20" s="4"/>
      <c r="M20" s="4"/>
      <c r="N20" s="4"/>
      <c r="O20" s="4"/>
    </row>
    <row r="21" customFormat="false" ht="30" hidden="false" customHeight="true" outlineLevel="0" collapsed="false">
      <c r="A21" s="26" t="n">
        <v>3</v>
      </c>
      <c r="B21" s="20" t="s">
        <v>80</v>
      </c>
      <c r="C21" s="4" t="s">
        <v>586</v>
      </c>
      <c r="D21" s="26" t="n">
        <f aca="false">D7</f>
        <v>1</v>
      </c>
      <c r="E21" s="4" t="s">
        <v>599</v>
      </c>
      <c r="F21" s="4"/>
      <c r="G21" s="4"/>
      <c r="H21" s="4"/>
      <c r="I21" s="4"/>
      <c r="J21" s="4"/>
      <c r="K21" s="4"/>
      <c r="L21" s="4"/>
      <c r="M21" s="4"/>
      <c r="N21" s="4"/>
      <c r="O21" s="4"/>
    </row>
    <row r="22" customFormat="false" ht="30" hidden="false" customHeight="true" outlineLevel="0" collapsed="false">
      <c r="A22" s="26" t="n">
        <v>4</v>
      </c>
      <c r="B22" s="20" t="s">
        <v>80</v>
      </c>
      <c r="C22" s="4" t="s">
        <v>587</v>
      </c>
      <c r="D22" s="26" t="n">
        <f aca="false">D8</f>
        <v>1</v>
      </c>
      <c r="E22" s="4" t="s">
        <v>600</v>
      </c>
      <c r="F22" s="4"/>
      <c r="G22" s="4"/>
      <c r="H22" s="4"/>
      <c r="I22" s="4"/>
      <c r="J22" s="4"/>
      <c r="K22" s="4"/>
      <c r="L22" s="4"/>
      <c r="M22" s="4"/>
      <c r="N22" s="4"/>
      <c r="O22" s="4"/>
    </row>
    <row r="23" customFormat="false" ht="42.75" hidden="false" customHeight="true" outlineLevel="0" collapsed="false">
      <c r="A23" s="26" t="n">
        <v>5</v>
      </c>
      <c r="B23" s="20" t="s">
        <v>80</v>
      </c>
      <c r="C23" s="4" t="s">
        <v>588</v>
      </c>
      <c r="D23" s="26" t="n">
        <f aca="false">D9</f>
        <v>0</v>
      </c>
      <c r="E23" s="4" t="s">
        <v>601</v>
      </c>
      <c r="F23" s="4"/>
      <c r="G23" s="4"/>
      <c r="H23" s="4"/>
      <c r="I23" s="4"/>
      <c r="J23" s="4"/>
      <c r="K23" s="4"/>
      <c r="L23" s="4"/>
      <c r="M23" s="4"/>
      <c r="N23" s="4"/>
      <c r="O23" s="4"/>
    </row>
    <row r="24" customFormat="false" ht="30" hidden="false" customHeight="true" outlineLevel="0" collapsed="false">
      <c r="A24" s="26" t="n">
        <v>1</v>
      </c>
      <c r="B24" s="20" t="s">
        <v>82</v>
      </c>
      <c r="C24" s="4" t="s">
        <v>584</v>
      </c>
      <c r="D24" s="26" t="n">
        <f aca="false">E5</f>
        <v>2</v>
      </c>
      <c r="E24" s="4" t="s">
        <v>602</v>
      </c>
      <c r="F24" s="4"/>
      <c r="G24" s="4"/>
      <c r="H24" s="4"/>
      <c r="I24" s="4"/>
      <c r="J24" s="4"/>
      <c r="K24" s="4"/>
      <c r="L24" s="4"/>
      <c r="M24" s="4"/>
      <c r="N24" s="4"/>
      <c r="O24" s="4"/>
    </row>
    <row r="25" customFormat="false" ht="30" hidden="false" customHeight="true" outlineLevel="0" collapsed="false">
      <c r="A25" s="26" t="n">
        <v>2</v>
      </c>
      <c r="B25" s="20" t="s">
        <v>82</v>
      </c>
      <c r="C25" s="4" t="s">
        <v>585</v>
      </c>
      <c r="D25" s="26" t="n">
        <f aca="false">E6</f>
        <v>2</v>
      </c>
      <c r="E25" s="4" t="s">
        <v>603</v>
      </c>
      <c r="F25" s="4"/>
      <c r="G25" s="4"/>
      <c r="H25" s="4"/>
      <c r="I25" s="4"/>
      <c r="J25" s="4"/>
      <c r="K25" s="4"/>
      <c r="L25" s="4"/>
      <c r="M25" s="4"/>
      <c r="N25" s="4"/>
      <c r="O25" s="4"/>
    </row>
    <row r="26" customFormat="false" ht="30" hidden="false" customHeight="true" outlineLevel="0" collapsed="false">
      <c r="A26" s="26" t="n">
        <v>3</v>
      </c>
      <c r="B26" s="20" t="s">
        <v>82</v>
      </c>
      <c r="C26" s="4" t="s">
        <v>586</v>
      </c>
      <c r="D26" s="26" t="n">
        <f aca="false">E7</f>
        <v>1</v>
      </c>
      <c r="E26" s="4" t="s">
        <v>604</v>
      </c>
      <c r="F26" s="4"/>
      <c r="G26" s="4"/>
      <c r="H26" s="4"/>
      <c r="I26" s="4"/>
      <c r="J26" s="4"/>
      <c r="K26" s="4"/>
      <c r="L26" s="4"/>
      <c r="M26" s="4"/>
      <c r="N26" s="4"/>
      <c r="O26" s="4"/>
    </row>
    <row r="27" customFormat="false" ht="30" hidden="false" customHeight="true" outlineLevel="0" collapsed="false">
      <c r="A27" s="26" t="n">
        <v>4</v>
      </c>
      <c r="B27" s="20" t="s">
        <v>82</v>
      </c>
      <c r="C27" s="4" t="s">
        <v>587</v>
      </c>
      <c r="D27" s="26" t="n">
        <f aca="false">E8</f>
        <v>2</v>
      </c>
      <c r="E27" s="4" t="s">
        <v>605</v>
      </c>
      <c r="F27" s="4"/>
      <c r="G27" s="4"/>
      <c r="H27" s="4"/>
      <c r="I27" s="4"/>
      <c r="J27" s="4"/>
      <c r="K27" s="4"/>
      <c r="L27" s="4"/>
      <c r="M27" s="4"/>
      <c r="N27" s="4"/>
      <c r="O27" s="4"/>
    </row>
    <row r="28" customFormat="false" ht="42.75" hidden="false" customHeight="true" outlineLevel="0" collapsed="false">
      <c r="A28" s="26" t="n">
        <v>5</v>
      </c>
      <c r="B28" s="20" t="s">
        <v>82</v>
      </c>
      <c r="C28" s="4" t="s">
        <v>588</v>
      </c>
      <c r="D28" s="26" t="n">
        <f aca="false">E9</f>
        <v>1</v>
      </c>
      <c r="E28" s="4" t="s">
        <v>606</v>
      </c>
      <c r="F28" s="4"/>
      <c r="G28" s="4"/>
      <c r="H28" s="4"/>
      <c r="I28" s="4"/>
      <c r="J28" s="4"/>
      <c r="K28" s="4"/>
      <c r="L28" s="4"/>
      <c r="M28" s="4"/>
      <c r="N28" s="4"/>
      <c r="O28" s="4"/>
    </row>
    <row r="29" customFormat="false" ht="30" hidden="false" customHeight="true" outlineLevel="0" collapsed="false">
      <c r="A29" s="26" t="n">
        <v>1</v>
      </c>
      <c r="B29" s="20" t="s">
        <v>126</v>
      </c>
      <c r="C29" s="4" t="s">
        <v>584</v>
      </c>
      <c r="D29" s="26" t="n">
        <f aca="false">F5</f>
        <v>2</v>
      </c>
      <c r="E29" s="4" t="s">
        <v>607</v>
      </c>
      <c r="F29" s="4"/>
      <c r="G29" s="4"/>
      <c r="H29" s="4"/>
      <c r="I29" s="4"/>
      <c r="J29" s="4"/>
      <c r="K29" s="4"/>
      <c r="L29" s="4"/>
      <c r="M29" s="4"/>
      <c r="N29" s="4"/>
      <c r="O29" s="4"/>
    </row>
    <row r="30" customFormat="false" ht="30" hidden="false" customHeight="true" outlineLevel="0" collapsed="false">
      <c r="A30" s="26" t="n">
        <v>2</v>
      </c>
      <c r="B30" s="20" t="s">
        <v>126</v>
      </c>
      <c r="C30" s="4" t="s">
        <v>585</v>
      </c>
      <c r="D30" s="26" t="n">
        <f aca="false">F6</f>
        <v>2</v>
      </c>
      <c r="E30" s="4" t="s">
        <v>608</v>
      </c>
      <c r="F30" s="4"/>
      <c r="G30" s="4"/>
      <c r="H30" s="4"/>
      <c r="I30" s="4"/>
      <c r="J30" s="4"/>
      <c r="K30" s="4"/>
      <c r="L30" s="4"/>
      <c r="M30" s="4"/>
      <c r="N30" s="4"/>
      <c r="O30" s="4"/>
    </row>
    <row r="31" customFormat="false" ht="30" hidden="false" customHeight="true" outlineLevel="0" collapsed="false">
      <c r="A31" s="26" t="n">
        <v>3</v>
      </c>
      <c r="B31" s="20" t="s">
        <v>126</v>
      </c>
      <c r="C31" s="4" t="s">
        <v>586</v>
      </c>
      <c r="D31" s="26" t="n">
        <f aca="false">F7</f>
        <v>1</v>
      </c>
      <c r="E31" s="4" t="s">
        <v>609</v>
      </c>
      <c r="F31" s="4"/>
      <c r="G31" s="4"/>
      <c r="H31" s="4"/>
      <c r="I31" s="4"/>
      <c r="J31" s="4"/>
      <c r="K31" s="4"/>
      <c r="L31" s="4"/>
      <c r="M31" s="4"/>
      <c r="N31" s="4"/>
      <c r="O31" s="4"/>
    </row>
    <row r="32" customFormat="false" ht="30" hidden="false" customHeight="true" outlineLevel="0" collapsed="false">
      <c r="A32" s="26" t="n">
        <v>4</v>
      </c>
      <c r="B32" s="20" t="s">
        <v>126</v>
      </c>
      <c r="C32" s="4" t="s">
        <v>587</v>
      </c>
      <c r="D32" s="26" t="n">
        <f aca="false">F8</f>
        <v>2</v>
      </c>
      <c r="E32" s="4" t="s">
        <v>610</v>
      </c>
      <c r="F32" s="4"/>
      <c r="G32" s="4"/>
      <c r="H32" s="4"/>
      <c r="I32" s="4"/>
      <c r="J32" s="4"/>
      <c r="K32" s="4"/>
      <c r="L32" s="4"/>
      <c r="M32" s="4"/>
      <c r="N32" s="4"/>
      <c r="O32" s="4"/>
    </row>
    <row r="33" customFormat="false" ht="42.75" hidden="false" customHeight="true" outlineLevel="0" collapsed="false">
      <c r="A33" s="26" t="n">
        <v>5</v>
      </c>
      <c r="B33" s="20" t="s">
        <v>126</v>
      </c>
      <c r="C33" s="4" t="s">
        <v>588</v>
      </c>
      <c r="D33" s="26" t="n">
        <f aca="false">F9</f>
        <v>1</v>
      </c>
      <c r="E33" s="4" t="s">
        <v>611</v>
      </c>
      <c r="F33" s="4"/>
      <c r="G33" s="4"/>
      <c r="H33" s="4"/>
      <c r="I33" s="4"/>
      <c r="J33" s="4"/>
      <c r="K33" s="4"/>
      <c r="L33" s="4"/>
      <c r="M33" s="4"/>
      <c r="N33" s="4"/>
      <c r="O33" s="4"/>
    </row>
    <row r="34" customFormat="false" ht="30" hidden="false" customHeight="true" outlineLevel="0" collapsed="false">
      <c r="A34" s="26" t="n">
        <v>1</v>
      </c>
      <c r="B34" s="20" t="s">
        <v>127</v>
      </c>
      <c r="C34" s="4" t="s">
        <v>584</v>
      </c>
      <c r="D34" s="26" t="n">
        <f aca="false">G5</f>
        <v>1</v>
      </c>
      <c r="E34" s="4" t="s">
        <v>612</v>
      </c>
      <c r="F34" s="4"/>
      <c r="G34" s="4"/>
      <c r="H34" s="4"/>
      <c r="I34" s="4"/>
      <c r="J34" s="4"/>
      <c r="K34" s="4"/>
      <c r="L34" s="4"/>
      <c r="M34" s="4"/>
      <c r="N34" s="4"/>
      <c r="O34" s="4"/>
    </row>
    <row r="35" customFormat="false" ht="30" hidden="false" customHeight="true" outlineLevel="0" collapsed="false">
      <c r="A35" s="26" t="n">
        <v>2</v>
      </c>
      <c r="B35" s="20" t="s">
        <v>127</v>
      </c>
      <c r="C35" s="4" t="s">
        <v>585</v>
      </c>
      <c r="D35" s="26" t="n">
        <f aca="false">G6</f>
        <v>2</v>
      </c>
      <c r="E35" s="4" t="s">
        <v>613</v>
      </c>
      <c r="F35" s="4"/>
      <c r="G35" s="4"/>
      <c r="H35" s="4"/>
      <c r="I35" s="4"/>
      <c r="J35" s="4"/>
      <c r="K35" s="4"/>
      <c r="L35" s="4"/>
      <c r="M35" s="4"/>
      <c r="N35" s="4"/>
      <c r="O35" s="4"/>
    </row>
    <row r="36" customFormat="false" ht="30" hidden="false" customHeight="true" outlineLevel="0" collapsed="false">
      <c r="A36" s="26" t="n">
        <v>3</v>
      </c>
      <c r="B36" s="20" t="s">
        <v>127</v>
      </c>
      <c r="C36" s="4" t="s">
        <v>586</v>
      </c>
      <c r="D36" s="26" t="n">
        <f aca="false">G7</f>
        <v>1</v>
      </c>
      <c r="E36" s="4" t="s">
        <v>614</v>
      </c>
      <c r="F36" s="4"/>
      <c r="G36" s="4"/>
      <c r="H36" s="4"/>
      <c r="I36" s="4"/>
      <c r="J36" s="4"/>
      <c r="K36" s="4"/>
      <c r="L36" s="4"/>
      <c r="M36" s="4"/>
      <c r="N36" s="4"/>
      <c r="O36" s="4"/>
    </row>
    <row r="37" customFormat="false" ht="30" hidden="false" customHeight="true" outlineLevel="0" collapsed="false">
      <c r="A37" s="26" t="n">
        <v>4</v>
      </c>
      <c r="B37" s="20" t="s">
        <v>127</v>
      </c>
      <c r="C37" s="4" t="s">
        <v>587</v>
      </c>
      <c r="D37" s="26" t="n">
        <f aca="false">G8</f>
        <v>1</v>
      </c>
      <c r="E37" s="4" t="s">
        <v>615</v>
      </c>
      <c r="F37" s="4"/>
      <c r="G37" s="4"/>
      <c r="H37" s="4"/>
      <c r="I37" s="4"/>
      <c r="J37" s="4"/>
      <c r="K37" s="4"/>
      <c r="L37" s="4"/>
      <c r="M37" s="4"/>
      <c r="N37" s="4"/>
      <c r="O37" s="4"/>
    </row>
    <row r="38" customFormat="false" ht="42.75" hidden="false" customHeight="true" outlineLevel="0" collapsed="false">
      <c r="A38" s="26" t="n">
        <v>5</v>
      </c>
      <c r="B38" s="20" t="s">
        <v>127</v>
      </c>
      <c r="C38" s="4" t="s">
        <v>588</v>
      </c>
      <c r="D38" s="26" t="n">
        <f aca="false">G9</f>
        <v>0</v>
      </c>
      <c r="E38" s="4" t="s">
        <v>616</v>
      </c>
      <c r="F38" s="4"/>
      <c r="G38" s="4"/>
      <c r="H38" s="4"/>
      <c r="I38" s="4"/>
      <c r="J38" s="4"/>
      <c r="K38" s="4"/>
      <c r="L38" s="4"/>
      <c r="M38" s="4"/>
      <c r="N38" s="4"/>
      <c r="O38" s="4"/>
    </row>
    <row r="39" customFormat="false" ht="30" hidden="false" customHeight="true" outlineLevel="0" collapsed="false">
      <c r="A39" s="26" t="n">
        <v>1</v>
      </c>
      <c r="B39" s="20" t="s">
        <v>128</v>
      </c>
      <c r="C39" s="4" t="s">
        <v>584</v>
      </c>
      <c r="D39" s="26" t="n">
        <f aca="false">H5</f>
        <v>2</v>
      </c>
      <c r="E39" s="4" t="s">
        <v>617</v>
      </c>
      <c r="F39" s="4"/>
      <c r="G39" s="4"/>
      <c r="H39" s="4"/>
      <c r="I39" s="4"/>
      <c r="J39" s="4"/>
      <c r="K39" s="4"/>
      <c r="L39" s="4"/>
      <c r="M39" s="4"/>
      <c r="N39" s="4"/>
      <c r="O39" s="4"/>
    </row>
    <row r="40" customFormat="false" ht="30" hidden="false" customHeight="true" outlineLevel="0" collapsed="false">
      <c r="A40" s="26" t="n">
        <v>2</v>
      </c>
      <c r="B40" s="20" t="s">
        <v>128</v>
      </c>
      <c r="C40" s="4" t="s">
        <v>585</v>
      </c>
      <c r="D40" s="26" t="n">
        <f aca="false">H6</f>
        <v>2</v>
      </c>
      <c r="E40" s="4" t="s">
        <v>618</v>
      </c>
      <c r="F40" s="4"/>
      <c r="G40" s="4"/>
      <c r="H40" s="4"/>
      <c r="I40" s="4"/>
      <c r="J40" s="4"/>
      <c r="K40" s="4"/>
      <c r="L40" s="4"/>
      <c r="M40" s="4"/>
      <c r="N40" s="4"/>
      <c r="O40" s="4"/>
    </row>
    <row r="41" customFormat="false" ht="42.75" hidden="false" customHeight="true" outlineLevel="0" collapsed="false">
      <c r="A41" s="26" t="n">
        <v>3</v>
      </c>
      <c r="B41" s="20" t="s">
        <v>128</v>
      </c>
      <c r="C41" s="4" t="s">
        <v>586</v>
      </c>
      <c r="D41" s="26" t="n">
        <f aca="false">H7</f>
        <v>1</v>
      </c>
      <c r="E41" s="4" t="s">
        <v>619</v>
      </c>
      <c r="F41" s="4"/>
      <c r="G41" s="4"/>
      <c r="H41" s="4"/>
      <c r="I41" s="4"/>
      <c r="J41" s="4"/>
      <c r="K41" s="4"/>
      <c r="L41" s="4"/>
      <c r="M41" s="4"/>
      <c r="N41" s="4"/>
      <c r="O41" s="4"/>
    </row>
    <row r="42" customFormat="false" ht="30" hidden="false" customHeight="true" outlineLevel="0" collapsed="false">
      <c r="A42" s="26" t="n">
        <v>4</v>
      </c>
      <c r="B42" s="20" t="s">
        <v>128</v>
      </c>
      <c r="C42" s="4" t="s">
        <v>587</v>
      </c>
      <c r="D42" s="26" t="n">
        <f aca="false">H8</f>
        <v>1</v>
      </c>
      <c r="E42" s="4" t="s">
        <v>620</v>
      </c>
      <c r="F42" s="4"/>
      <c r="G42" s="4"/>
      <c r="H42" s="4"/>
      <c r="I42" s="4"/>
      <c r="J42" s="4"/>
      <c r="K42" s="4"/>
      <c r="L42" s="4"/>
      <c r="M42" s="4"/>
      <c r="N42" s="4"/>
      <c r="O42" s="4"/>
    </row>
    <row r="43" customFormat="false" ht="42.75" hidden="false" customHeight="true" outlineLevel="0" collapsed="false">
      <c r="A43" s="26" t="n">
        <v>5</v>
      </c>
      <c r="B43" s="20" t="s">
        <v>128</v>
      </c>
      <c r="C43" s="4" t="s">
        <v>588</v>
      </c>
      <c r="D43" s="26" t="n">
        <f aca="false">H9</f>
        <v>2</v>
      </c>
      <c r="E43" s="4" t="s">
        <v>621</v>
      </c>
      <c r="F43" s="4"/>
      <c r="G43" s="4"/>
      <c r="H43" s="4"/>
      <c r="I43" s="4"/>
      <c r="J43" s="4"/>
      <c r="K43" s="4"/>
      <c r="L43" s="4"/>
      <c r="M43" s="4"/>
      <c r="N43" s="4"/>
      <c r="O43" s="4"/>
    </row>
    <row r="44" customFormat="false" ht="30" hidden="false" customHeight="true" outlineLevel="0" collapsed="false">
      <c r="A44" s="26" t="n">
        <v>1</v>
      </c>
      <c r="B44" s="20" t="s">
        <v>129</v>
      </c>
      <c r="C44" s="4" t="s">
        <v>584</v>
      </c>
      <c r="D44" s="26" t="n">
        <f aca="false">I5</f>
        <v>2</v>
      </c>
      <c r="E44" s="4" t="s">
        <v>622</v>
      </c>
      <c r="F44" s="4"/>
      <c r="G44" s="4"/>
      <c r="H44" s="4"/>
      <c r="I44" s="4"/>
      <c r="J44" s="4"/>
      <c r="K44" s="4"/>
      <c r="L44" s="4"/>
      <c r="M44" s="4"/>
      <c r="N44" s="4"/>
      <c r="O44" s="4"/>
    </row>
    <row r="45" customFormat="false" ht="30" hidden="false" customHeight="true" outlineLevel="0" collapsed="false">
      <c r="A45" s="26" t="n">
        <v>2</v>
      </c>
      <c r="B45" s="20" t="s">
        <v>129</v>
      </c>
      <c r="C45" s="4" t="s">
        <v>585</v>
      </c>
      <c r="D45" s="26" t="n">
        <f aca="false">I6</f>
        <v>2</v>
      </c>
      <c r="E45" s="4" t="s">
        <v>623</v>
      </c>
      <c r="F45" s="4"/>
      <c r="G45" s="4"/>
      <c r="H45" s="4"/>
      <c r="I45" s="4"/>
      <c r="J45" s="4"/>
      <c r="K45" s="4"/>
      <c r="L45" s="4"/>
      <c r="M45" s="4"/>
      <c r="N45" s="4"/>
      <c r="O45" s="4"/>
    </row>
    <row r="46" customFormat="false" ht="30" hidden="false" customHeight="true" outlineLevel="0" collapsed="false">
      <c r="A46" s="26" t="n">
        <v>3</v>
      </c>
      <c r="B46" s="20" t="s">
        <v>129</v>
      </c>
      <c r="C46" s="4" t="s">
        <v>586</v>
      </c>
      <c r="D46" s="26" t="n">
        <f aca="false">I7</f>
        <v>2</v>
      </c>
      <c r="E46" s="4" t="s">
        <v>624</v>
      </c>
      <c r="F46" s="4"/>
      <c r="G46" s="4"/>
      <c r="H46" s="4"/>
      <c r="I46" s="4"/>
      <c r="J46" s="4"/>
      <c r="K46" s="4"/>
      <c r="L46" s="4"/>
      <c r="M46" s="4"/>
      <c r="N46" s="4"/>
      <c r="O46" s="4"/>
    </row>
    <row r="47" customFormat="false" ht="30" hidden="false" customHeight="true" outlineLevel="0" collapsed="false">
      <c r="A47" s="26" t="n">
        <v>4</v>
      </c>
      <c r="B47" s="20" t="s">
        <v>129</v>
      </c>
      <c r="C47" s="4" t="s">
        <v>587</v>
      </c>
      <c r="D47" s="26" t="n">
        <f aca="false">I8</f>
        <v>2</v>
      </c>
      <c r="E47" s="4" t="s">
        <v>625</v>
      </c>
      <c r="F47" s="4"/>
      <c r="G47" s="4"/>
      <c r="H47" s="4"/>
      <c r="I47" s="4"/>
      <c r="J47" s="4"/>
      <c r="K47" s="4"/>
      <c r="L47" s="4"/>
      <c r="M47" s="4"/>
      <c r="N47" s="4"/>
      <c r="O47" s="4"/>
    </row>
    <row r="48" customFormat="false" ht="42.75" hidden="false" customHeight="true" outlineLevel="0" collapsed="false">
      <c r="A48" s="26" t="n">
        <v>5</v>
      </c>
      <c r="B48" s="20" t="s">
        <v>129</v>
      </c>
      <c r="C48" s="4" t="s">
        <v>588</v>
      </c>
      <c r="D48" s="26" t="n">
        <f aca="false">I9</f>
        <v>1</v>
      </c>
      <c r="E48" s="4" t="s">
        <v>626</v>
      </c>
      <c r="F48" s="4"/>
      <c r="G48" s="4"/>
      <c r="H48" s="4"/>
      <c r="I48" s="4"/>
      <c r="J48" s="4"/>
      <c r="K48" s="4"/>
      <c r="L48" s="4"/>
      <c r="M48" s="4"/>
      <c r="N48" s="4"/>
      <c r="O48" s="4"/>
    </row>
    <row r="49" customFormat="false" ht="30" hidden="false" customHeight="true" outlineLevel="0" collapsed="false">
      <c r="A49" s="26" t="n">
        <v>1</v>
      </c>
      <c r="B49" s="20" t="s">
        <v>130</v>
      </c>
      <c r="C49" s="4" t="s">
        <v>584</v>
      </c>
      <c r="D49" s="26" t="n">
        <f aca="false">J5</f>
        <v>2</v>
      </c>
      <c r="E49" s="4" t="s">
        <v>627</v>
      </c>
      <c r="F49" s="4"/>
      <c r="G49" s="4"/>
      <c r="H49" s="4"/>
      <c r="I49" s="4"/>
      <c r="J49" s="4"/>
      <c r="K49" s="4"/>
      <c r="L49" s="4"/>
      <c r="M49" s="4"/>
      <c r="N49" s="4"/>
      <c r="O49" s="4"/>
    </row>
    <row r="50" customFormat="false" ht="30" hidden="false" customHeight="true" outlineLevel="0" collapsed="false">
      <c r="A50" s="26" t="n">
        <v>2</v>
      </c>
      <c r="B50" s="20" t="s">
        <v>130</v>
      </c>
      <c r="C50" s="4" t="s">
        <v>585</v>
      </c>
      <c r="D50" s="26" t="n">
        <f aca="false">J6</f>
        <v>2</v>
      </c>
      <c r="E50" s="4" t="s">
        <v>628</v>
      </c>
      <c r="F50" s="4"/>
      <c r="G50" s="4"/>
      <c r="H50" s="4"/>
      <c r="I50" s="4"/>
      <c r="J50" s="4"/>
      <c r="K50" s="4"/>
      <c r="L50" s="4"/>
      <c r="M50" s="4"/>
      <c r="N50" s="4"/>
      <c r="O50" s="4"/>
    </row>
    <row r="51" customFormat="false" ht="42.75" hidden="false" customHeight="true" outlineLevel="0" collapsed="false">
      <c r="A51" s="26" t="n">
        <v>3</v>
      </c>
      <c r="B51" s="20" t="s">
        <v>130</v>
      </c>
      <c r="C51" s="4" t="s">
        <v>586</v>
      </c>
      <c r="D51" s="26" t="n">
        <f aca="false">J7</f>
        <v>1</v>
      </c>
      <c r="E51" s="4" t="s">
        <v>629</v>
      </c>
      <c r="F51" s="4"/>
      <c r="G51" s="4"/>
      <c r="H51" s="4"/>
      <c r="I51" s="4"/>
      <c r="J51" s="4"/>
      <c r="K51" s="4"/>
      <c r="L51" s="4"/>
      <c r="M51" s="4"/>
      <c r="N51" s="4"/>
      <c r="O51" s="4"/>
    </row>
    <row r="52" customFormat="false" ht="30" hidden="false" customHeight="true" outlineLevel="0" collapsed="false">
      <c r="A52" s="26" t="n">
        <v>4</v>
      </c>
      <c r="B52" s="20" t="s">
        <v>130</v>
      </c>
      <c r="C52" s="4" t="s">
        <v>587</v>
      </c>
      <c r="D52" s="26" t="n">
        <f aca="false">J8</f>
        <v>2</v>
      </c>
      <c r="E52" s="4" t="s">
        <v>630</v>
      </c>
      <c r="F52" s="4"/>
      <c r="G52" s="4"/>
      <c r="H52" s="4"/>
      <c r="I52" s="4"/>
      <c r="J52" s="4"/>
      <c r="K52" s="4"/>
      <c r="L52" s="4"/>
      <c r="M52" s="4"/>
      <c r="N52" s="4"/>
      <c r="O52" s="4"/>
    </row>
    <row r="53" customFormat="false" ht="42.75" hidden="false" customHeight="true" outlineLevel="0" collapsed="false">
      <c r="A53" s="26" t="n">
        <v>5</v>
      </c>
      <c r="B53" s="20" t="s">
        <v>130</v>
      </c>
      <c r="C53" s="4" t="s">
        <v>588</v>
      </c>
      <c r="D53" s="26" t="n">
        <f aca="false">J9</f>
        <v>2</v>
      </c>
      <c r="E53" s="4" t="s">
        <v>631</v>
      </c>
      <c r="F53" s="4"/>
      <c r="G53" s="4"/>
      <c r="H53" s="4"/>
      <c r="I53" s="4"/>
      <c r="J53" s="4"/>
      <c r="K53" s="4"/>
      <c r="L53" s="4"/>
      <c r="M53" s="4"/>
      <c r="N53" s="4"/>
      <c r="O53" s="4"/>
    </row>
    <row r="54" customFormat="false" ht="30" hidden="false" customHeight="true" outlineLevel="0" collapsed="false">
      <c r="A54" s="26" t="n">
        <v>1</v>
      </c>
      <c r="B54" s="20" t="s">
        <v>131</v>
      </c>
      <c r="C54" s="4" t="s">
        <v>584</v>
      </c>
      <c r="D54" s="26" t="n">
        <f aca="false">K5</f>
        <v>2</v>
      </c>
      <c r="E54" s="4" t="s">
        <v>632</v>
      </c>
      <c r="F54" s="4"/>
      <c r="G54" s="4"/>
      <c r="H54" s="4"/>
      <c r="I54" s="4"/>
      <c r="J54" s="4"/>
      <c r="K54" s="4"/>
      <c r="L54" s="4"/>
      <c r="M54" s="4"/>
      <c r="N54" s="4"/>
      <c r="O54" s="4"/>
    </row>
    <row r="55" customFormat="false" ht="30" hidden="false" customHeight="true" outlineLevel="0" collapsed="false">
      <c r="A55" s="26" t="n">
        <v>2</v>
      </c>
      <c r="B55" s="20" t="s">
        <v>131</v>
      </c>
      <c r="C55" s="4" t="s">
        <v>585</v>
      </c>
      <c r="D55" s="26" t="n">
        <f aca="false">K6</f>
        <v>1</v>
      </c>
      <c r="E55" s="4" t="s">
        <v>633</v>
      </c>
      <c r="F55" s="4"/>
      <c r="G55" s="4"/>
      <c r="H55" s="4"/>
      <c r="I55" s="4"/>
      <c r="J55" s="4"/>
      <c r="K55" s="4"/>
      <c r="L55" s="4"/>
      <c r="M55" s="4"/>
      <c r="N55" s="4"/>
      <c r="O55" s="4"/>
    </row>
    <row r="56" customFormat="false" ht="30" hidden="false" customHeight="true" outlineLevel="0" collapsed="false">
      <c r="A56" s="26" t="n">
        <v>3</v>
      </c>
      <c r="B56" s="20" t="s">
        <v>131</v>
      </c>
      <c r="C56" s="4" t="s">
        <v>586</v>
      </c>
      <c r="D56" s="26" t="n">
        <f aca="false">K7</f>
        <v>1</v>
      </c>
      <c r="E56" s="4" t="s">
        <v>634</v>
      </c>
      <c r="F56" s="4"/>
      <c r="G56" s="4"/>
      <c r="H56" s="4"/>
      <c r="I56" s="4"/>
      <c r="J56" s="4"/>
      <c r="K56" s="4"/>
      <c r="L56" s="4"/>
      <c r="M56" s="4"/>
      <c r="N56" s="4"/>
      <c r="O56" s="4"/>
    </row>
    <row r="57" customFormat="false" ht="30" hidden="false" customHeight="true" outlineLevel="0" collapsed="false">
      <c r="A57" s="26" t="n">
        <v>4</v>
      </c>
      <c r="B57" s="20" t="s">
        <v>131</v>
      </c>
      <c r="C57" s="4" t="s">
        <v>587</v>
      </c>
      <c r="D57" s="26" t="n">
        <f aca="false">K8</f>
        <v>1</v>
      </c>
      <c r="E57" s="4" t="s">
        <v>635</v>
      </c>
      <c r="F57" s="4"/>
      <c r="G57" s="4"/>
      <c r="H57" s="4"/>
      <c r="I57" s="4"/>
      <c r="J57" s="4"/>
      <c r="K57" s="4"/>
      <c r="L57" s="4"/>
      <c r="M57" s="4"/>
      <c r="N57" s="4"/>
      <c r="O57" s="4"/>
    </row>
    <row r="58" customFormat="false" ht="42.75" hidden="false" customHeight="true" outlineLevel="0" collapsed="false">
      <c r="A58" s="26" t="n">
        <v>5</v>
      </c>
      <c r="B58" s="20" t="s">
        <v>131</v>
      </c>
      <c r="C58" s="4" t="s">
        <v>588</v>
      </c>
      <c r="D58" s="26" t="n">
        <f aca="false">K9</f>
        <v>1</v>
      </c>
      <c r="E58" s="4" t="s">
        <v>636</v>
      </c>
      <c r="F58" s="4"/>
      <c r="G58" s="4"/>
      <c r="H58" s="4"/>
      <c r="I58" s="4"/>
      <c r="J58" s="4"/>
      <c r="K58" s="4"/>
      <c r="L58" s="4"/>
      <c r="M58" s="4"/>
      <c r="N58" s="4"/>
      <c r="O58" s="4"/>
    </row>
    <row r="59" customFormat="false" ht="30" hidden="false" customHeight="true" outlineLevel="0" collapsed="false">
      <c r="A59" s="26" t="n">
        <v>1</v>
      </c>
      <c r="B59" s="20" t="s">
        <v>132</v>
      </c>
      <c r="C59" s="4" t="s">
        <v>584</v>
      </c>
      <c r="D59" s="26" t="n">
        <f aca="false">L5</f>
        <v>2</v>
      </c>
      <c r="E59" s="4" t="s">
        <v>637</v>
      </c>
      <c r="F59" s="4"/>
      <c r="G59" s="4"/>
      <c r="H59" s="4"/>
      <c r="I59" s="4"/>
      <c r="J59" s="4"/>
      <c r="K59" s="4"/>
      <c r="L59" s="4"/>
      <c r="M59" s="4"/>
      <c r="N59" s="4"/>
      <c r="O59" s="4"/>
    </row>
    <row r="60" customFormat="false" ht="30" hidden="false" customHeight="true" outlineLevel="0" collapsed="false">
      <c r="A60" s="26" t="n">
        <v>2</v>
      </c>
      <c r="B60" s="20" t="s">
        <v>132</v>
      </c>
      <c r="C60" s="4" t="s">
        <v>585</v>
      </c>
      <c r="D60" s="26" t="n">
        <f aca="false">L6</f>
        <v>2</v>
      </c>
      <c r="E60" s="4" t="s">
        <v>638</v>
      </c>
      <c r="F60" s="4"/>
      <c r="G60" s="4"/>
      <c r="H60" s="4"/>
      <c r="I60" s="4"/>
      <c r="J60" s="4"/>
      <c r="K60" s="4"/>
      <c r="L60" s="4"/>
      <c r="M60" s="4"/>
      <c r="N60" s="4"/>
      <c r="O60" s="4"/>
    </row>
    <row r="61" customFormat="false" ht="30" hidden="false" customHeight="true" outlineLevel="0" collapsed="false">
      <c r="A61" s="26" t="n">
        <v>3</v>
      </c>
      <c r="B61" s="20" t="s">
        <v>132</v>
      </c>
      <c r="C61" s="4" t="s">
        <v>586</v>
      </c>
      <c r="D61" s="26" t="n">
        <f aca="false">L7</f>
        <v>2</v>
      </c>
      <c r="E61" s="4" t="s">
        <v>639</v>
      </c>
      <c r="F61" s="4"/>
      <c r="G61" s="4"/>
      <c r="H61" s="4"/>
      <c r="I61" s="4"/>
      <c r="J61" s="4"/>
      <c r="K61" s="4"/>
      <c r="L61" s="4"/>
      <c r="M61" s="4"/>
      <c r="N61" s="4"/>
      <c r="O61" s="4"/>
    </row>
    <row r="62" customFormat="false" ht="30" hidden="false" customHeight="true" outlineLevel="0" collapsed="false">
      <c r="A62" s="26" t="n">
        <v>4</v>
      </c>
      <c r="B62" s="20" t="s">
        <v>132</v>
      </c>
      <c r="C62" s="4" t="s">
        <v>587</v>
      </c>
      <c r="D62" s="26" t="n">
        <f aca="false">L8</f>
        <v>1</v>
      </c>
      <c r="E62" s="4" t="s">
        <v>640</v>
      </c>
      <c r="F62" s="4"/>
      <c r="G62" s="4"/>
      <c r="H62" s="4"/>
      <c r="I62" s="4"/>
      <c r="J62" s="4"/>
      <c r="K62" s="4"/>
      <c r="L62" s="4"/>
      <c r="M62" s="4"/>
      <c r="N62" s="4"/>
      <c r="O62" s="4"/>
    </row>
    <row r="63" customFormat="false" ht="42.75" hidden="false" customHeight="true" outlineLevel="0" collapsed="false">
      <c r="A63" s="26" t="n">
        <v>5</v>
      </c>
      <c r="B63" s="20" t="s">
        <v>132</v>
      </c>
      <c r="C63" s="4" t="s">
        <v>588</v>
      </c>
      <c r="D63" s="26" t="n">
        <f aca="false">L9</f>
        <v>2</v>
      </c>
      <c r="E63" s="4" t="s">
        <v>641</v>
      </c>
      <c r="F63" s="4"/>
      <c r="G63" s="4"/>
      <c r="H63" s="4"/>
      <c r="I63" s="4"/>
      <c r="J63" s="4"/>
      <c r="K63" s="4"/>
      <c r="L63" s="4"/>
      <c r="M63" s="4"/>
      <c r="N63" s="4"/>
      <c r="O63" s="4"/>
    </row>
    <row r="64" customFormat="false" ht="30" hidden="false" customHeight="true" outlineLevel="0" collapsed="false">
      <c r="A64" s="26" t="n">
        <v>1</v>
      </c>
      <c r="B64" s="20" t="s">
        <v>133</v>
      </c>
      <c r="C64" s="4" t="s">
        <v>584</v>
      </c>
      <c r="D64" s="26" t="n">
        <f aca="false">M5</f>
        <v>1</v>
      </c>
      <c r="E64" s="4" t="s">
        <v>642</v>
      </c>
      <c r="F64" s="4"/>
      <c r="G64" s="4"/>
      <c r="H64" s="4"/>
      <c r="I64" s="4"/>
      <c r="J64" s="4"/>
      <c r="K64" s="4"/>
      <c r="L64" s="4"/>
      <c r="M64" s="4"/>
      <c r="N64" s="4"/>
      <c r="O64" s="4"/>
    </row>
    <row r="65" customFormat="false" ht="30" hidden="false" customHeight="true" outlineLevel="0" collapsed="false">
      <c r="A65" s="26" t="n">
        <v>2</v>
      </c>
      <c r="B65" s="20" t="s">
        <v>133</v>
      </c>
      <c r="C65" s="4" t="s">
        <v>585</v>
      </c>
      <c r="D65" s="26" t="n">
        <f aca="false">M6</f>
        <v>2</v>
      </c>
      <c r="E65" s="4" t="s">
        <v>643</v>
      </c>
      <c r="F65" s="4"/>
      <c r="G65" s="4"/>
      <c r="H65" s="4"/>
      <c r="I65" s="4"/>
      <c r="J65" s="4"/>
      <c r="K65" s="4"/>
      <c r="L65" s="4"/>
      <c r="M65" s="4"/>
      <c r="N65" s="4"/>
      <c r="O65" s="4"/>
    </row>
    <row r="66" customFormat="false" ht="30" hidden="false" customHeight="true" outlineLevel="0" collapsed="false">
      <c r="A66" s="26" t="n">
        <v>3</v>
      </c>
      <c r="B66" s="20" t="s">
        <v>133</v>
      </c>
      <c r="C66" s="4" t="s">
        <v>586</v>
      </c>
      <c r="D66" s="26" t="n">
        <f aca="false">M7</f>
        <v>1</v>
      </c>
      <c r="E66" s="4" t="s">
        <v>644</v>
      </c>
      <c r="F66" s="4"/>
      <c r="G66" s="4"/>
      <c r="H66" s="4"/>
      <c r="I66" s="4"/>
      <c r="J66" s="4"/>
      <c r="K66" s="4"/>
      <c r="L66" s="4"/>
      <c r="M66" s="4"/>
      <c r="N66" s="4"/>
      <c r="O66" s="4"/>
    </row>
    <row r="67" customFormat="false" ht="30" hidden="false" customHeight="true" outlineLevel="0" collapsed="false">
      <c r="A67" s="26" t="n">
        <v>4</v>
      </c>
      <c r="B67" s="20" t="s">
        <v>133</v>
      </c>
      <c r="C67" s="4" t="s">
        <v>587</v>
      </c>
      <c r="D67" s="26" t="n">
        <f aca="false">M8</f>
        <v>1</v>
      </c>
      <c r="E67" s="4" t="s">
        <v>645</v>
      </c>
      <c r="F67" s="4"/>
      <c r="G67" s="4"/>
      <c r="H67" s="4"/>
      <c r="I67" s="4"/>
      <c r="J67" s="4"/>
      <c r="K67" s="4"/>
      <c r="L67" s="4"/>
      <c r="M67" s="4"/>
      <c r="N67" s="4"/>
      <c r="O67" s="4"/>
    </row>
    <row r="68" customFormat="false" ht="42.75" hidden="false" customHeight="true" outlineLevel="0" collapsed="false">
      <c r="A68" s="26" t="n">
        <v>5</v>
      </c>
      <c r="B68" s="20" t="s">
        <v>133</v>
      </c>
      <c r="C68" s="4" t="s">
        <v>588</v>
      </c>
      <c r="D68" s="26" t="n">
        <f aca="false">M9</f>
        <v>2</v>
      </c>
      <c r="E68" s="4" t="s">
        <v>646</v>
      </c>
      <c r="F68" s="4"/>
      <c r="G68" s="4"/>
      <c r="H68" s="4"/>
      <c r="I68" s="4"/>
      <c r="J68" s="4"/>
      <c r="K68" s="4"/>
      <c r="L68" s="4"/>
      <c r="M68" s="4"/>
      <c r="N68" s="4"/>
      <c r="O68" s="4"/>
    </row>
  </sheetData>
  <mergeCells count="56">
    <mergeCell ref="A12:O12"/>
    <mergeCell ref="E14:O14"/>
    <mergeCell ref="E15:O15"/>
    <mergeCell ref="E16:O16"/>
    <mergeCell ref="E17:O17"/>
    <mergeCell ref="E18:O18"/>
    <mergeCell ref="E19:O19"/>
    <mergeCell ref="E20:O20"/>
    <mergeCell ref="E21:O21"/>
    <mergeCell ref="E22:O22"/>
    <mergeCell ref="E23:O23"/>
    <mergeCell ref="E24:O24"/>
    <mergeCell ref="E25:O25"/>
    <mergeCell ref="E26:O26"/>
    <mergeCell ref="E27:O27"/>
    <mergeCell ref="E28:O28"/>
    <mergeCell ref="E29:O29"/>
    <mergeCell ref="E30:O30"/>
    <mergeCell ref="E31:O31"/>
    <mergeCell ref="E32:O32"/>
    <mergeCell ref="E33:O33"/>
    <mergeCell ref="E34:O34"/>
    <mergeCell ref="E35:O35"/>
    <mergeCell ref="E36:O36"/>
    <mergeCell ref="E37:O37"/>
    <mergeCell ref="E38:O38"/>
    <mergeCell ref="E39:O39"/>
    <mergeCell ref="E40:O40"/>
    <mergeCell ref="E41:O41"/>
    <mergeCell ref="E42:O42"/>
    <mergeCell ref="E43:O43"/>
    <mergeCell ref="E44:O44"/>
    <mergeCell ref="E45:O45"/>
    <mergeCell ref="E46:O46"/>
    <mergeCell ref="E47:O47"/>
    <mergeCell ref="E48:O48"/>
    <mergeCell ref="E49:O49"/>
    <mergeCell ref="E50:O50"/>
    <mergeCell ref="E51:O51"/>
    <mergeCell ref="E52:O52"/>
    <mergeCell ref="E53:O53"/>
    <mergeCell ref="E54:O54"/>
    <mergeCell ref="E55:O55"/>
    <mergeCell ref="E56:O56"/>
    <mergeCell ref="E57:O57"/>
    <mergeCell ref="E58:O58"/>
    <mergeCell ref="E59:O59"/>
    <mergeCell ref="E60:O60"/>
    <mergeCell ref="E61:O61"/>
    <mergeCell ref="E62:O62"/>
    <mergeCell ref="E63:O63"/>
    <mergeCell ref="E64:O64"/>
    <mergeCell ref="E65:O65"/>
    <mergeCell ref="E66:O66"/>
    <mergeCell ref="E67:O67"/>
    <mergeCell ref="E68:O68"/>
  </mergeCells>
  <conditionalFormatting sqref="C5:M9">
    <cfRule type="cellIs" priority="2" operator="equal" aboveAverage="0" equalAverage="0" bottom="0" percent="0" rank="0" text="" dxfId="0">
      <formula>0</formula>
    </cfRule>
    <cfRule type="cellIs" priority="3" operator="equal" aboveAverage="0" equalAverage="0" bottom="0" percent="0" rank="0" text="" dxfId="3">
      <formula>1</formula>
    </cfRule>
    <cfRule type="cellIs" priority="4" operator="equal" aboveAverage="0" equalAverage="0" bottom="0" percent="0" rank="0" text="" dxfId="1">
      <formula>2</formula>
    </cfRule>
  </conditionalFormatting>
  <conditionalFormatting sqref="D14:D68">
    <cfRule type="cellIs" priority="5" operator="equal" aboveAverage="0" equalAverage="0" bottom="0" percent="0" rank="0" text="" dxfId="0">
      <formula>0</formula>
    </cfRule>
    <cfRule type="cellIs" priority="6" operator="equal" aboveAverage="0" equalAverage="0" bottom="0" percent="0" rank="0" text="" dxfId="3">
      <formula>1</formula>
    </cfRule>
  </conditionalFormatting>
  <dataValidations count="1">
    <dataValidation allowBlank="false" errorStyle="stop" operator="between" showDropDown="false" showErrorMessage="false" showInputMessage="false" sqref="C5:M9"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26"/>
    <col collapsed="false" customWidth="true" hidden="false" outlineLevel="0" max="4" min="4" style="0" width="11"/>
    <col collapsed="false" customWidth="true" hidden="false" outlineLevel="0" max="5" min="5" style="0" width="14"/>
    <col collapsed="false" customWidth="true" hidden="false" outlineLevel="0" max="6" min="6" style="0" width="9"/>
    <col collapsed="false" customWidth="true" hidden="false" outlineLevel="0" max="7" min="7" style="0" width="14"/>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false" outlineLevel="0" max="11" min="11" style="0" width="56"/>
    <col collapsed="false" customWidth="true" hidden="false" outlineLevel="0" max="12" min="12" style="0" width="76"/>
  </cols>
  <sheetData>
    <row r="1" customFormat="false" ht="17.35" hidden="false" customHeight="false" outlineLevel="0" collapsed="false">
      <c r="A1" s="1" t="s">
        <v>647</v>
      </c>
    </row>
    <row r="2" customFormat="false" ht="15" hidden="false" customHeight="false" outlineLevel="0" collapsed="false">
      <c r="A2" s="2" t="s">
        <v>648</v>
      </c>
    </row>
    <row r="4" customFormat="false" ht="48" hidden="false" customHeight="true" outlineLevel="0" collapsed="false">
      <c r="A4" s="12" t="s">
        <v>145</v>
      </c>
      <c r="B4" s="12" t="s">
        <v>649</v>
      </c>
      <c r="C4" s="12" t="s">
        <v>650</v>
      </c>
      <c r="D4" s="12" t="s">
        <v>137</v>
      </c>
      <c r="E4" s="12" t="s">
        <v>148</v>
      </c>
      <c r="F4" s="12" t="s">
        <v>147</v>
      </c>
      <c r="G4" s="12" t="s">
        <v>651</v>
      </c>
      <c r="H4" s="12" t="s">
        <v>652</v>
      </c>
      <c r="I4" s="12" t="s">
        <v>653</v>
      </c>
      <c r="J4" s="12" t="s">
        <v>654</v>
      </c>
      <c r="K4" s="12" t="s">
        <v>655</v>
      </c>
      <c r="L4" s="12" t="s">
        <v>656</v>
      </c>
    </row>
    <row r="5" customFormat="false" ht="108" hidden="false" customHeight="true" outlineLevel="0" collapsed="false">
      <c r="A5" s="20" t="s">
        <v>78</v>
      </c>
      <c r="B5" s="4" t="s">
        <v>657</v>
      </c>
      <c r="C5" s="4" t="s">
        <v>658</v>
      </c>
      <c r="D5" s="28" t="n">
        <f aca="false">Calificación!E47</f>
        <v>2.35625</v>
      </c>
      <c r="E5" s="29" t="str">
        <f aca="false">Calificación!E48</f>
        <v>En desarrollo</v>
      </c>
      <c r="F5" s="26" t="n">
        <f aca="false">RANK(D5,$D$5:$D$15,0)</f>
        <v>10</v>
      </c>
      <c r="G5" s="26" t="n">
        <f aca="false">COUNTIF(Calificación!E39:E46,"&lt;"&amp;Rúbrica!$D$6)</f>
        <v>5</v>
      </c>
      <c r="H5" s="21" t="n">
        <f aca="false">'Coherencia interna'!C10</f>
        <v>0.3</v>
      </c>
      <c r="I5" s="29" t="n">
        <f aca="false">'Errores APA y redacción'!B14</f>
        <v>8</v>
      </c>
      <c r="J5" s="29" t="n">
        <f aca="false">'Errores APA y redacción'!B18</f>
        <v>2</v>
      </c>
      <c r="K5" s="4" t="s">
        <v>659</v>
      </c>
      <c r="L5" s="4" t="s">
        <v>660</v>
      </c>
    </row>
    <row r="6" customFormat="false" ht="120.75" hidden="false" customHeight="true" outlineLevel="0" collapsed="false">
      <c r="A6" s="20" t="s">
        <v>80</v>
      </c>
      <c r="B6" s="4" t="s">
        <v>661</v>
      </c>
      <c r="C6" s="4" t="s">
        <v>662</v>
      </c>
      <c r="D6" s="28" t="n">
        <f aca="false">Calificación!F47</f>
        <v>3.03875</v>
      </c>
      <c r="E6" s="29" t="str">
        <f aca="false">Calificación!F48</f>
        <v>Satisfactorio</v>
      </c>
      <c r="F6" s="26" t="n">
        <f aca="false">RANK(D6,$D$5:$D$15,0)</f>
        <v>8</v>
      </c>
      <c r="G6" s="26" t="n">
        <f aca="false">COUNTIF(Calificación!F39:F46,"&lt;"&amp;Rúbrica!$D$6)</f>
        <v>4</v>
      </c>
      <c r="H6" s="21" t="n">
        <f aca="false">'Coherencia interna'!D10</f>
        <v>0.5</v>
      </c>
      <c r="I6" s="29" t="n">
        <f aca="false">'Errores APA y redacción'!C14</f>
        <v>10</v>
      </c>
      <c r="J6" s="29" t="n">
        <f aca="false">'Errores APA y redacción'!C18</f>
        <v>1</v>
      </c>
      <c r="K6" s="4" t="s">
        <v>663</v>
      </c>
      <c r="L6" s="4" t="s">
        <v>664</v>
      </c>
    </row>
    <row r="7" customFormat="false" ht="120.75" hidden="false" customHeight="true" outlineLevel="0" collapsed="false">
      <c r="A7" s="20" t="s">
        <v>82</v>
      </c>
      <c r="B7" s="4" t="s">
        <v>665</v>
      </c>
      <c r="C7" s="4" t="s">
        <v>666</v>
      </c>
      <c r="D7" s="28" t="n">
        <f aca="false">Calificación!G47</f>
        <v>3.67125</v>
      </c>
      <c r="E7" s="29" t="str">
        <f aca="false">Calificación!G48</f>
        <v>Satisfactorio</v>
      </c>
      <c r="F7" s="26" t="n">
        <f aca="false">RANK(D7,$D$5:$D$15,0)</f>
        <v>4</v>
      </c>
      <c r="G7" s="26" t="n">
        <f aca="false">COUNTIF(Calificación!G39:G46,"&lt;"&amp;Rúbrica!$D$6)</f>
        <v>2</v>
      </c>
      <c r="H7" s="21" t="n">
        <f aca="false">'Coherencia interna'!E10</f>
        <v>0.8</v>
      </c>
      <c r="I7" s="29" t="n">
        <f aca="false">'Errores APA y redacción'!D14</f>
        <v>9</v>
      </c>
      <c r="J7" s="29" t="n">
        <f aca="false">'Errores APA y redacción'!D18</f>
        <v>4</v>
      </c>
      <c r="K7" s="4" t="s">
        <v>667</v>
      </c>
      <c r="L7" s="4" t="s">
        <v>668</v>
      </c>
    </row>
    <row r="8" customFormat="false" ht="120.75" hidden="false" customHeight="true" outlineLevel="0" collapsed="false">
      <c r="A8" s="20" t="s">
        <v>126</v>
      </c>
      <c r="B8" s="4" t="s">
        <v>669</v>
      </c>
      <c r="C8" s="4" t="s">
        <v>670</v>
      </c>
      <c r="D8" s="28" t="n">
        <f aca="false">Calificación!H47</f>
        <v>3.595</v>
      </c>
      <c r="E8" s="29" t="str">
        <f aca="false">Calificación!H48</f>
        <v>Satisfactorio</v>
      </c>
      <c r="F8" s="26" t="n">
        <f aca="false">RANK(D8,$D$5:$D$15,0)</f>
        <v>5</v>
      </c>
      <c r="G8" s="26" t="n">
        <f aca="false">COUNTIF(Calificación!H39:H46,"&lt;"&amp;Rúbrica!$D$6)</f>
        <v>2</v>
      </c>
      <c r="H8" s="21" t="n">
        <f aca="false">'Coherencia interna'!F10</f>
        <v>0.8</v>
      </c>
      <c r="I8" s="29" t="n">
        <f aca="false">'Errores APA y redacción'!E14</f>
        <v>11</v>
      </c>
      <c r="J8" s="29" t="n">
        <f aca="false">'Errores APA y redacción'!E18</f>
        <v>3</v>
      </c>
      <c r="K8" s="4" t="s">
        <v>671</v>
      </c>
      <c r="L8" s="4" t="s">
        <v>672</v>
      </c>
    </row>
    <row r="9" customFormat="false" ht="133.5" hidden="false" customHeight="true" outlineLevel="0" collapsed="false">
      <c r="A9" s="20" t="s">
        <v>127</v>
      </c>
      <c r="B9" s="4" t="s">
        <v>673</v>
      </c>
      <c r="C9" s="4" t="s">
        <v>674</v>
      </c>
      <c r="D9" s="28" t="n">
        <f aca="false">Calificación!I47</f>
        <v>2.145</v>
      </c>
      <c r="E9" s="29" t="str">
        <f aca="false">Calificación!I48</f>
        <v>En desarrollo</v>
      </c>
      <c r="F9" s="26" t="n">
        <f aca="false">RANK(D9,$D$5:$D$15,0)</f>
        <v>11</v>
      </c>
      <c r="G9" s="26" t="n">
        <f aca="false">COUNTIF(Calificación!I39:I46,"&lt;"&amp;Rúbrica!$D$6)</f>
        <v>6</v>
      </c>
      <c r="H9" s="21" t="n">
        <f aca="false">'Coherencia interna'!G10</f>
        <v>0.5</v>
      </c>
      <c r="I9" s="29" t="n">
        <f aca="false">'Errores APA y redacción'!F14</f>
        <v>11</v>
      </c>
      <c r="J9" s="29" t="n">
        <f aca="false">'Errores APA y redacción'!F18</f>
        <v>6</v>
      </c>
      <c r="K9" s="4" t="s">
        <v>675</v>
      </c>
      <c r="L9" s="4" t="s">
        <v>676</v>
      </c>
    </row>
    <row r="10" customFormat="false" ht="94.5" hidden="false" customHeight="true" outlineLevel="0" collapsed="false">
      <c r="A10" s="20" t="s">
        <v>128</v>
      </c>
      <c r="B10" s="4" t="s">
        <v>677</v>
      </c>
      <c r="C10" s="4" t="s">
        <v>678</v>
      </c>
      <c r="D10" s="28" t="n">
        <f aca="false">Calificación!J47</f>
        <v>4.22375</v>
      </c>
      <c r="E10" s="29" t="str">
        <f aca="false">Calificación!J48</f>
        <v>Alto</v>
      </c>
      <c r="F10" s="26" t="n">
        <f aca="false">RANK(D10,$D$5:$D$15,0)</f>
        <v>3</v>
      </c>
      <c r="G10" s="26" t="n">
        <f aca="false">COUNTIF(Calificación!J39:J46,"&lt;"&amp;Rúbrica!$D$6)</f>
        <v>1</v>
      </c>
      <c r="H10" s="21" t="n">
        <f aca="false">'Coherencia interna'!H10</f>
        <v>0.8</v>
      </c>
      <c r="I10" s="29" t="n">
        <f aca="false">'Errores APA y redacción'!G14</f>
        <v>8</v>
      </c>
      <c r="J10" s="29" t="n">
        <f aca="false">'Errores APA y redacción'!G18</f>
        <v>0</v>
      </c>
      <c r="K10" s="4" t="s">
        <v>679</v>
      </c>
      <c r="L10" s="4" t="s">
        <v>680</v>
      </c>
    </row>
    <row r="11" customFormat="false" ht="108" hidden="false" customHeight="true" outlineLevel="0" collapsed="false">
      <c r="A11" s="20" t="s">
        <v>129</v>
      </c>
      <c r="B11" s="4" t="s">
        <v>681</v>
      </c>
      <c r="C11" s="4" t="s">
        <v>682</v>
      </c>
      <c r="D11" s="28" t="n">
        <f aca="false">Calificación!K47</f>
        <v>4.395</v>
      </c>
      <c r="E11" s="29" t="str">
        <f aca="false">Calificación!K48</f>
        <v>Alto</v>
      </c>
      <c r="F11" s="26" t="n">
        <f aca="false">RANK(D11,$D$5:$D$15,0)</f>
        <v>1</v>
      </c>
      <c r="G11" s="26" t="n">
        <f aca="false">COUNTIF(Calificación!K39:K46,"&lt;"&amp;Rúbrica!$D$6)</f>
        <v>0</v>
      </c>
      <c r="H11" s="21" t="n">
        <f aca="false">'Coherencia interna'!I10</f>
        <v>0.9</v>
      </c>
      <c r="I11" s="29" t="n">
        <f aca="false">'Errores APA y redacción'!H14</f>
        <v>9</v>
      </c>
      <c r="J11" s="29" t="n">
        <f aca="false">'Errores APA y redacción'!H18</f>
        <v>2</v>
      </c>
      <c r="K11" s="4" t="s">
        <v>683</v>
      </c>
      <c r="L11" s="4" t="s">
        <v>684</v>
      </c>
    </row>
    <row r="12" customFormat="false" ht="133.5" hidden="false" customHeight="true" outlineLevel="0" collapsed="false">
      <c r="A12" s="20" t="s">
        <v>130</v>
      </c>
      <c r="B12" s="4" t="s">
        <v>685</v>
      </c>
      <c r="C12" s="4" t="s">
        <v>686</v>
      </c>
      <c r="D12" s="28" t="n">
        <f aca="false">Calificación!L47</f>
        <v>4.36125</v>
      </c>
      <c r="E12" s="29" t="str">
        <f aca="false">Calificación!L48</f>
        <v>Alto</v>
      </c>
      <c r="F12" s="26" t="n">
        <f aca="false">RANK(D12,$D$5:$D$15,0)</f>
        <v>2</v>
      </c>
      <c r="G12" s="26" t="n">
        <f aca="false">COUNTIF(Calificación!L39:L46,"&lt;"&amp;Rúbrica!$D$6)</f>
        <v>0</v>
      </c>
      <c r="H12" s="21" t="n">
        <f aca="false">'Coherencia interna'!J10</f>
        <v>0.9</v>
      </c>
      <c r="I12" s="29" t="n">
        <f aca="false">'Errores APA y redacción'!I14</f>
        <v>9</v>
      </c>
      <c r="J12" s="29" t="n">
        <f aca="false">'Errores APA y redacción'!I18</f>
        <v>3</v>
      </c>
      <c r="K12" s="4" t="s">
        <v>687</v>
      </c>
      <c r="L12" s="4" t="s">
        <v>688</v>
      </c>
    </row>
    <row r="13" customFormat="false" ht="147" hidden="false" customHeight="true" outlineLevel="0" collapsed="false">
      <c r="A13" s="20" t="s">
        <v>131</v>
      </c>
      <c r="B13" s="4" t="s">
        <v>689</v>
      </c>
      <c r="C13" s="4" t="s">
        <v>690</v>
      </c>
      <c r="D13" s="28" t="n">
        <f aca="false">Calificación!M47</f>
        <v>2.36</v>
      </c>
      <c r="E13" s="29" t="str">
        <f aca="false">Calificación!M48</f>
        <v>En desarrollo</v>
      </c>
      <c r="F13" s="26" t="n">
        <f aca="false">RANK(D13,$D$5:$D$15,0)</f>
        <v>9</v>
      </c>
      <c r="G13" s="26" t="n">
        <f aca="false">COUNTIF(Calificación!M39:M46,"&lt;"&amp;Rúbrica!$D$6)</f>
        <v>5</v>
      </c>
      <c r="H13" s="21" t="n">
        <f aca="false">'Coherencia interna'!K10</f>
        <v>0.6</v>
      </c>
      <c r="I13" s="29" t="n">
        <f aca="false">'Errores APA y redacción'!J14</f>
        <v>12</v>
      </c>
      <c r="J13" s="29" t="n">
        <f aca="false">'Errores APA y redacción'!J18</f>
        <v>8</v>
      </c>
      <c r="K13" s="4" t="s">
        <v>691</v>
      </c>
      <c r="L13" s="4" t="s">
        <v>692</v>
      </c>
    </row>
    <row r="14" customFormat="false" ht="133.5" hidden="false" customHeight="true" outlineLevel="0" collapsed="false">
      <c r="A14" s="20" t="s">
        <v>132</v>
      </c>
      <c r="B14" s="4" t="s">
        <v>693</v>
      </c>
      <c r="C14" s="4" t="s">
        <v>694</v>
      </c>
      <c r="D14" s="28" t="n">
        <f aca="false">Calificación!N47</f>
        <v>3.56</v>
      </c>
      <c r="E14" s="29" t="str">
        <f aca="false">Calificación!N48</f>
        <v>Satisfactorio</v>
      </c>
      <c r="F14" s="26" t="n">
        <f aca="false">RANK(D14,$D$5:$D$15,0)</f>
        <v>6</v>
      </c>
      <c r="G14" s="26" t="n">
        <f aca="false">COUNTIF(Calificación!N39:N46,"&lt;"&amp;Rúbrica!$D$6)</f>
        <v>2</v>
      </c>
      <c r="H14" s="21" t="n">
        <f aca="false">'Coherencia interna'!L10</f>
        <v>0.9</v>
      </c>
      <c r="I14" s="29" t="n">
        <f aca="false">'Errores APA y redacción'!K14</f>
        <v>9</v>
      </c>
      <c r="J14" s="29" t="n">
        <f aca="false">'Errores APA y redacción'!K18</f>
        <v>5</v>
      </c>
      <c r="K14" s="4" t="s">
        <v>695</v>
      </c>
      <c r="L14" s="4" t="s">
        <v>696</v>
      </c>
    </row>
    <row r="15" customFormat="false" ht="133.5" hidden="false" customHeight="true" outlineLevel="0" collapsed="false">
      <c r="A15" s="20" t="s">
        <v>133</v>
      </c>
      <c r="B15" s="4" t="s">
        <v>697</v>
      </c>
      <c r="C15" s="4" t="s">
        <v>698</v>
      </c>
      <c r="D15" s="28" t="n">
        <f aca="false">Calificación!O47</f>
        <v>3.54</v>
      </c>
      <c r="E15" s="29" t="str">
        <f aca="false">Calificación!O48</f>
        <v>Satisfactorio</v>
      </c>
      <c r="F15" s="26" t="n">
        <f aca="false">RANK(D15,$D$5:$D$15,0)</f>
        <v>7</v>
      </c>
      <c r="G15" s="26" t="n">
        <f aca="false">COUNTIF(Calificación!O39:O46,"&lt;"&amp;Rúbrica!$D$6)</f>
        <v>1</v>
      </c>
      <c r="H15" s="21" t="n">
        <f aca="false">'Coherencia interna'!M10</f>
        <v>0.7</v>
      </c>
      <c r="I15" s="29" t="n">
        <f aca="false">'Errores APA y redacción'!L14</f>
        <v>8</v>
      </c>
      <c r="J15" s="29" t="n">
        <f aca="false">'Errores APA y redacción'!L18</f>
        <v>2</v>
      </c>
      <c r="K15" s="4" t="s">
        <v>699</v>
      </c>
      <c r="L15" s="4" t="s">
        <v>700</v>
      </c>
    </row>
  </sheetData>
  <conditionalFormatting sqref="D5:D15">
    <cfRule type="cellIs" priority="2" operator="lessThan" aboveAverage="0" equalAverage="0" bottom="0" percent="0" rank="0" text="" dxfId="2">
      <formula>Rúbrica!$D$6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5"/>
  </cols>
  <sheetData>
    <row r="1" customFormat="false" ht="17.35" hidden="false" customHeight="false" outlineLevel="0" collapsed="false">
      <c r="A1" s="1" t="s">
        <v>701</v>
      </c>
    </row>
    <row r="2" customFormat="false" ht="15" hidden="false" customHeight="false" outlineLevel="0" collapsed="false">
      <c r="A2" s="2" t="s">
        <v>702</v>
      </c>
    </row>
    <row r="4" customFormat="false" ht="30" hidden="false" customHeight="true" outlineLevel="0" collapsed="false">
      <c r="A4" s="3" t="s">
        <v>703</v>
      </c>
      <c r="B4" s="4" t="s">
        <v>704</v>
      </c>
    </row>
    <row r="5" customFormat="false" ht="42.75" hidden="false" customHeight="true" outlineLevel="0" collapsed="false">
      <c r="A5" s="3" t="s">
        <v>705</v>
      </c>
      <c r="B5" s="4" t="s">
        <v>706</v>
      </c>
    </row>
    <row r="6" customFormat="false" ht="42.75" hidden="false" customHeight="true" outlineLevel="0" collapsed="false">
      <c r="A6" s="3" t="s">
        <v>707</v>
      </c>
      <c r="B6" s="4" t="s">
        <v>708</v>
      </c>
    </row>
    <row r="7" customFormat="false" ht="42.75" hidden="false" customHeight="true" outlineLevel="0" collapsed="false">
      <c r="A7" s="3" t="s">
        <v>709</v>
      </c>
      <c r="B7" s="4" t="s">
        <v>710</v>
      </c>
    </row>
    <row r="8" customFormat="false" ht="55.5" hidden="false" customHeight="true" outlineLevel="0" collapsed="false">
      <c r="A8" s="3" t="s">
        <v>711</v>
      </c>
      <c r="B8" s="4" t="s">
        <v>712</v>
      </c>
    </row>
    <row r="9" customFormat="false" ht="30" hidden="false" customHeight="true" outlineLevel="0" collapsed="false">
      <c r="A9" s="3" t="s">
        <v>713</v>
      </c>
      <c r="B9" s="4" t="s">
        <v>714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2026-10-19T17:13:14Z</dcterms:created>
  <dc:creator>openpyxl</dc:creator>
  <dc:description/>
  <dc:language>en-US</dc:language>
  <cp:lastModifiedBy/>
  <dcterms:modified xsi:type="dcterms:W3CDTF">2026-10-19T12:13:16Z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